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TX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540</v>
      </c>
      <c r="C4" t="inlineStr">
        <is>
          <t>BP Energy Company</t>
        </is>
      </c>
      <c r="D4" t="inlineStr">
        <is>
          <t>D</t>
        </is>
      </c>
      <c r="E4" t="inlineStr">
        <is>
          <t>Bundled</t>
        </is>
      </c>
      <c r="F4" t="inlineStr">
        <is>
          <t>O</t>
        </is>
      </c>
      <c r="G4" t="inlineStr">
        <is>
          <t>TX</t>
        </is>
      </c>
      <c r="H4" t="inlineStr">
        <is>
          <t>Retail Power Marketer</t>
        </is>
      </c>
      <c r="I4" t="inlineStr">
        <is>
          <t>ERCO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.</t>
        </is>
      </c>
      <c r="P4" t="n">
        <v>62297</v>
      </c>
      <c r="Q4" t="n">
        <v>989891</v>
      </c>
      <c r="R4" t="n">
        <v>1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62297</v>
      </c>
      <c r="W4" t="n">
        <v>989891</v>
      </c>
      <c r="X4" t="n">
        <v>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1015</v>
      </c>
      <c r="C5" t="inlineStr">
        <is>
          <t>Austin Energy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TX</t>
        </is>
      </c>
      <c r="H5" t="inlineStr">
        <is>
          <t>Municipal</t>
        </is>
      </c>
      <c r="I5" t="inlineStr">
        <is>
          <t>ERCO</t>
        </is>
      </c>
      <c r="J5" t="n">
        <v>638262</v>
      </c>
      <c r="K5" t="n">
        <v>5074608</v>
      </c>
      <c r="L5" t="n">
        <v>507291</v>
      </c>
      <c r="M5" t="n">
        <v>617209.8</v>
      </c>
      <c r="N5" t="n">
        <v>5909072</v>
      </c>
      <c r="O5" t="n">
        <v>54586</v>
      </c>
      <c r="P5" t="n">
        <v>219668.6</v>
      </c>
      <c r="Q5" t="n">
        <v>3216894</v>
      </c>
      <c r="R5" t="n">
        <v>127</v>
      </c>
      <c r="S5" t="n">
        <v>0</v>
      </c>
      <c r="T5" t="n">
        <v>0</v>
      </c>
      <c r="U5" t="n">
        <v>0</v>
      </c>
      <c r="V5" t="n">
        <v>1475140.4</v>
      </c>
      <c r="W5" t="n">
        <v>14200574</v>
      </c>
      <c r="X5" t="n">
        <v>562004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1169</v>
      </c>
      <c r="C6" t="inlineStr">
        <is>
          <t>Bailey County Elec Coop Assn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TX</t>
        </is>
      </c>
      <c r="H6" t="inlineStr">
        <is>
          <t>Cooperative</t>
        </is>
      </c>
      <c r="I6" t="inlineStr">
        <is>
          <t>SWPP</t>
        </is>
      </c>
      <c r="J6" t="n">
        <v>2216</v>
      </c>
      <c r="K6" t="n">
        <v>25258</v>
      </c>
      <c r="L6" t="n">
        <v>3348</v>
      </c>
      <c r="M6" t="n">
        <v>5019</v>
      </c>
      <c r="N6" t="n">
        <v>68865</v>
      </c>
      <c r="O6" t="n">
        <v>860</v>
      </c>
      <c r="P6" t="n">
        <v>19119</v>
      </c>
      <c r="Q6" t="n">
        <v>248195</v>
      </c>
      <c r="R6" t="n">
        <v>4923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26354</v>
      </c>
      <c r="W6" t="n">
        <v>342318</v>
      </c>
      <c r="X6" t="n">
        <v>9131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1175</v>
      </c>
      <c r="C7" t="inlineStr">
        <is>
          <t>Bandera Electric Coop,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TX</t>
        </is>
      </c>
      <c r="H7" t="inlineStr">
        <is>
          <t>Cooperative</t>
        </is>
      </c>
      <c r="I7" t="inlineStr">
        <is>
          <t>ERCO</t>
        </is>
      </c>
      <c r="J7" t="n">
        <v>61819</v>
      </c>
      <c r="K7" t="n">
        <v>498494</v>
      </c>
      <c r="L7" t="n">
        <v>35346</v>
      </c>
      <c r="M7" t="n">
        <v>19804</v>
      </c>
      <c r="N7" t="n">
        <v>189317</v>
      </c>
      <c r="O7" t="n">
        <v>6612</v>
      </c>
      <c r="P7" t="n">
        <v>1671</v>
      </c>
      <c r="Q7" t="n">
        <v>18566</v>
      </c>
      <c r="R7" t="n">
        <v>65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83294</v>
      </c>
      <c r="W7" t="n">
        <v>706377</v>
      </c>
      <c r="X7" t="n">
        <v>42023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1273</v>
      </c>
      <c r="C8" t="inlineStr">
        <is>
          <t>Bartlett Electric Coop,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TX</t>
        </is>
      </c>
      <c r="H8" t="inlineStr">
        <is>
          <t>Cooperative</t>
        </is>
      </c>
      <c r="I8" t="inlineStr">
        <is>
          <t>ERCO</t>
        </is>
      </c>
      <c r="J8" t="n">
        <v>30344.3</v>
      </c>
      <c r="K8" t="n">
        <v>188623</v>
      </c>
      <c r="L8" t="n">
        <v>11527</v>
      </c>
      <c r="M8" t="n">
        <v>9764.6</v>
      </c>
      <c r="N8" t="n">
        <v>58796</v>
      </c>
      <c r="O8" t="n">
        <v>3726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40108.9</v>
      </c>
      <c r="W8" t="n">
        <v>247419</v>
      </c>
      <c r="X8" t="n">
        <v>15253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1591</v>
      </c>
      <c r="C9" t="inlineStr">
        <is>
          <t>Big Country Electric Coop,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TX</t>
        </is>
      </c>
      <c r="H9" t="inlineStr">
        <is>
          <t>Cooperative</t>
        </is>
      </c>
      <c r="I9" t="inlineStr">
        <is>
          <t>ERCO</t>
        </is>
      </c>
      <c r="J9" t="n">
        <v>12135.4</v>
      </c>
      <c r="K9" t="n">
        <v>88439</v>
      </c>
      <c r="L9" t="n">
        <v>9449</v>
      </c>
      <c r="M9" t="n">
        <v>24729.2</v>
      </c>
      <c r="N9" t="n">
        <v>255720</v>
      </c>
      <c r="O9" t="n">
        <v>3452</v>
      </c>
      <c r="P9" t="n">
        <v>1274.7</v>
      </c>
      <c r="Q9" t="n">
        <v>10799</v>
      </c>
      <c r="R9" t="n">
        <v>695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38139.3</v>
      </c>
      <c r="W9" t="n">
        <v>354958</v>
      </c>
      <c r="X9" t="n">
        <v>13596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1892</v>
      </c>
      <c r="C10" t="inlineStr">
        <is>
          <t>Bluebonnet Electric Coop,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TX</t>
        </is>
      </c>
      <c r="H10" t="inlineStr">
        <is>
          <t>Cooperative</t>
        </is>
      </c>
      <c r="I10" t="inlineStr">
        <is>
          <t>ERCO</t>
        </is>
      </c>
      <c r="J10" t="n">
        <v>188096.4</v>
      </c>
      <c r="K10" t="n">
        <v>1647723</v>
      </c>
      <c r="L10" t="n">
        <v>113890</v>
      </c>
      <c r="M10" t="n">
        <v>89212.7</v>
      </c>
      <c r="N10" t="n">
        <v>1704548</v>
      </c>
      <c r="O10" t="n">
        <v>17755</v>
      </c>
      <c r="P10" t="n">
        <v>75739.3</v>
      </c>
      <c r="Q10" t="n">
        <v>740804</v>
      </c>
      <c r="R10" t="n">
        <v>1574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353048.4</v>
      </c>
      <c r="W10" t="n">
        <v>4093075</v>
      </c>
      <c r="X10" t="n">
        <v>133219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2049</v>
      </c>
      <c r="C11" t="inlineStr">
        <is>
          <t>Bowie-Cass Electric Coop,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TX</t>
        </is>
      </c>
      <c r="H11" t="inlineStr">
        <is>
          <t>Cooperative</t>
        </is>
      </c>
      <c r="I11" t="inlineStr">
        <is>
          <t>SWPP</t>
        </is>
      </c>
      <c r="J11" t="n">
        <v>59350.1</v>
      </c>
      <c r="K11" t="n">
        <v>472356</v>
      </c>
      <c r="L11" t="n">
        <v>34526</v>
      </c>
      <c r="M11" t="n">
        <v>13586.6</v>
      </c>
      <c r="N11" t="n">
        <v>115542</v>
      </c>
      <c r="O11" t="n">
        <v>5298</v>
      </c>
      <c r="P11" t="n">
        <v>3747.5</v>
      </c>
      <c r="Q11" t="n">
        <v>39904</v>
      </c>
      <c r="R11" t="n">
        <v>8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76684.2</v>
      </c>
      <c r="W11" t="n">
        <v>627802</v>
      </c>
      <c r="X11" t="n">
        <v>39832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2194</v>
      </c>
      <c r="C12" t="inlineStr">
        <is>
          <t>City of Brenham - (TX)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TX</t>
        </is>
      </c>
      <c r="H12" t="inlineStr">
        <is>
          <t>Municipal</t>
        </is>
      </c>
      <c r="I12" t="inlineStr">
        <is>
          <t>ERCO</t>
        </is>
      </c>
      <c r="J12" t="n">
        <v>8234</v>
      </c>
      <c r="K12" t="n">
        <v>77840</v>
      </c>
      <c r="L12" t="n">
        <v>6059</v>
      </c>
      <c r="M12" t="n">
        <v>7280.3</v>
      </c>
      <c r="N12" t="n">
        <v>79152</v>
      </c>
      <c r="O12" t="n">
        <v>1359</v>
      </c>
      <c r="P12" t="n">
        <v>8949.1</v>
      </c>
      <c r="Q12" t="n">
        <v>116218</v>
      </c>
      <c r="R12" t="n">
        <v>24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24463.4</v>
      </c>
      <c r="W12" t="n">
        <v>273210</v>
      </c>
      <c r="X12" t="n">
        <v>7442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2409</v>
      </c>
      <c r="C13" t="inlineStr">
        <is>
          <t>Brownsville Public Utilities Board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TX</t>
        </is>
      </c>
      <c r="H13" t="inlineStr">
        <is>
          <t>Municipal</t>
        </is>
      </c>
      <c r="I13" t="inlineStr">
        <is>
          <t>ERCO</t>
        </is>
      </c>
      <c r="J13" t="n">
        <v>81913</v>
      </c>
      <c r="K13" t="n">
        <v>644833</v>
      </c>
      <c r="L13" t="n">
        <v>48146</v>
      </c>
      <c r="M13" t="n">
        <v>87336</v>
      </c>
      <c r="N13" t="n">
        <v>685671</v>
      </c>
      <c r="O13" t="n">
        <v>6566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169249</v>
      </c>
      <c r="W13" t="n">
        <v>1330504</v>
      </c>
      <c r="X13" t="n">
        <v>54712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2442</v>
      </c>
      <c r="C14" t="inlineStr">
        <is>
          <t>City of Bryan - (TX)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TX</t>
        </is>
      </c>
      <c r="H14" t="inlineStr">
        <is>
          <t>Municipal</t>
        </is>
      </c>
      <c r="I14" t="inlineStr">
        <is>
          <t>ERCO</t>
        </is>
      </c>
      <c r="J14" t="n">
        <v>89811</v>
      </c>
      <c r="K14" t="n">
        <v>788907</v>
      </c>
      <c r="L14" t="n">
        <v>58284</v>
      </c>
      <c r="M14" t="n">
        <v>63628</v>
      </c>
      <c r="N14" t="n">
        <v>665412</v>
      </c>
      <c r="O14" t="n">
        <v>10387</v>
      </c>
      <c r="P14" t="n">
        <v>12856</v>
      </c>
      <c r="Q14" t="n">
        <v>161336</v>
      </c>
      <c r="R14" t="n">
        <v>14</v>
      </c>
      <c r="S14" t="n">
        <v>0</v>
      </c>
      <c r="T14" t="inlineStr">
        <is>
          <t>.</t>
        </is>
      </c>
      <c r="U14" t="inlineStr">
        <is>
          <t>.</t>
        </is>
      </c>
      <c r="V14" t="n">
        <v>166295</v>
      </c>
      <c r="W14" t="n">
        <v>1615655</v>
      </c>
      <c r="X14" t="n">
        <v>68685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2830</v>
      </c>
      <c r="C15" t="inlineStr">
        <is>
          <t>Calpine Power America LLC</t>
        </is>
      </c>
      <c r="D15" t="inlineStr">
        <is>
          <t>D</t>
        </is>
      </c>
      <c r="E15" t="inlineStr">
        <is>
          <t>Bundled</t>
        </is>
      </c>
      <c r="F15" t="inlineStr">
        <is>
          <t>O</t>
        </is>
      </c>
      <c r="G15" t="inlineStr">
        <is>
          <t>TX</t>
        </is>
      </c>
      <c r="H15" t="inlineStr">
        <is>
          <t>Retail Power Marketer</t>
        </is>
      </c>
      <c r="I15" t="inlineStr">
        <is>
          <t>ERCO</t>
        </is>
      </c>
      <c r="J15" t="inlineStr">
        <is>
          <t>.</t>
        </is>
      </c>
      <c r="K15" t="inlineStr">
        <is>
          <t>.</t>
        </is>
      </c>
      <c r="L15" t="inlineStr">
        <is>
          <t>.</t>
        </is>
      </c>
      <c r="M15" t="inlineStr">
        <is>
          <t>.</t>
        </is>
      </c>
      <c r="N15" t="inlineStr">
        <is>
          <t>.</t>
        </is>
      </c>
      <c r="O15" t="inlineStr">
        <is>
          <t>.</t>
        </is>
      </c>
      <c r="P15" t="n">
        <v>6417</v>
      </c>
      <c r="Q15" t="n">
        <v>193604</v>
      </c>
      <c r="R15" t="n">
        <v>1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6417</v>
      </c>
      <c r="W15" t="n">
        <v>193604</v>
      </c>
      <c r="X15" t="n">
        <v>1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3282</v>
      </c>
      <c r="C16" t="inlineStr">
        <is>
          <t>Central Texas Elec Coop,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TX</t>
        </is>
      </c>
      <c r="H16" t="inlineStr">
        <is>
          <t>Cooperative</t>
        </is>
      </c>
      <c r="I16" t="inlineStr">
        <is>
          <t>ERCO</t>
        </is>
      </c>
      <c r="J16" t="n">
        <v>56175.7</v>
      </c>
      <c r="K16" t="n">
        <v>509400</v>
      </c>
      <c r="L16" t="n">
        <v>39569</v>
      </c>
      <c r="M16" t="n">
        <v>8428.6</v>
      </c>
      <c r="N16" t="n">
        <v>77510</v>
      </c>
      <c r="O16" t="n">
        <v>4043</v>
      </c>
      <c r="P16" t="n">
        <v>18625.7</v>
      </c>
      <c r="Q16" t="n">
        <v>278655</v>
      </c>
      <c r="R16" t="n">
        <v>3981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83230</v>
      </c>
      <c r="W16" t="n">
        <v>865565</v>
      </c>
      <c r="X16" t="n">
        <v>47593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3470</v>
      </c>
      <c r="C17" t="inlineStr">
        <is>
          <t>Cherokee County Elec Coop Assn - (TX)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TX</t>
        </is>
      </c>
      <c r="H17" t="inlineStr">
        <is>
          <t>Cooperative</t>
        </is>
      </c>
      <c r="I17" t="inlineStr">
        <is>
          <t>ERCO</t>
        </is>
      </c>
      <c r="J17" t="n">
        <v>42747</v>
      </c>
      <c r="K17" t="n">
        <v>286577</v>
      </c>
      <c r="L17" t="n">
        <v>22026</v>
      </c>
      <c r="M17" t="n">
        <v>8396</v>
      </c>
      <c r="N17" t="n">
        <v>58533</v>
      </c>
      <c r="O17" t="n">
        <v>1739</v>
      </c>
      <c r="P17" t="n">
        <v>6949</v>
      </c>
      <c r="Q17" t="n">
        <v>124503</v>
      </c>
      <c r="R17" t="n">
        <v>3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58092</v>
      </c>
      <c r="W17" t="n">
        <v>469613</v>
      </c>
      <c r="X17" t="n">
        <v>23768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3940</v>
      </c>
      <c r="C18" t="inlineStr">
        <is>
          <t>City of College Station - (TX)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TX</t>
        </is>
      </c>
      <c r="H18" t="inlineStr">
        <is>
          <t>Municipal</t>
        </is>
      </c>
      <c r="I18" t="inlineStr">
        <is>
          <t>ERCO</t>
        </is>
      </c>
      <c r="J18" t="n">
        <v>69892</v>
      </c>
      <c r="K18" t="n">
        <v>479801</v>
      </c>
      <c r="L18" t="n">
        <v>42995</v>
      </c>
      <c r="M18" t="n">
        <v>59496</v>
      </c>
      <c r="N18" t="n">
        <v>456623</v>
      </c>
      <c r="O18" t="n">
        <v>4054</v>
      </c>
      <c r="P18" t="inlineStr">
        <is>
          <t>.</t>
        </is>
      </c>
      <c r="Q18" t="inlineStr">
        <is>
          <t>.</t>
        </is>
      </c>
      <c r="R18" t="inlineStr">
        <is>
          <t>.</t>
        </is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129388</v>
      </c>
      <c r="W18" t="n">
        <v>936424</v>
      </c>
      <c r="X18" t="n">
        <v>47049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4146</v>
      </c>
      <c r="C19" t="inlineStr">
        <is>
          <t>Concho Valley Elec Coop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TX</t>
        </is>
      </c>
      <c r="H19" t="inlineStr">
        <is>
          <t>Cooperative</t>
        </is>
      </c>
      <c r="I19" t="inlineStr">
        <is>
          <t>ERCO</t>
        </is>
      </c>
      <c r="J19" t="n">
        <v>17351.9</v>
      </c>
      <c r="K19" t="n">
        <v>136357</v>
      </c>
      <c r="L19" t="n">
        <v>12060</v>
      </c>
      <c r="M19" t="n">
        <v>3766.7</v>
      </c>
      <c r="N19" t="n">
        <v>25895</v>
      </c>
      <c r="O19" t="n">
        <v>2213</v>
      </c>
      <c r="P19" t="n">
        <v>23738.2</v>
      </c>
      <c r="Q19" t="n">
        <v>434351</v>
      </c>
      <c r="R19" t="n">
        <v>1841</v>
      </c>
      <c r="S19" t="n">
        <v>0</v>
      </c>
      <c r="T19" t="n">
        <v>0</v>
      </c>
      <c r="U19" t="n">
        <v>0</v>
      </c>
      <c r="V19" t="n">
        <v>44856.8</v>
      </c>
      <c r="W19" t="n">
        <v>596603</v>
      </c>
      <c r="X19" t="n">
        <v>16114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4262</v>
      </c>
      <c r="C20" t="inlineStr">
        <is>
          <t>Cooke County Elec Coop Assn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TX</t>
        </is>
      </c>
      <c r="H20" t="inlineStr">
        <is>
          <t>Cooperative</t>
        </is>
      </c>
      <c r="I20" t="inlineStr">
        <is>
          <t>ERCO</t>
        </is>
      </c>
      <c r="J20" t="n">
        <v>30869</v>
      </c>
      <c r="K20" t="n">
        <v>220350</v>
      </c>
      <c r="L20" t="n">
        <v>15886</v>
      </c>
      <c r="M20" t="n">
        <v>15023</v>
      </c>
      <c r="N20" t="n">
        <v>126177</v>
      </c>
      <c r="O20" t="n">
        <v>2105</v>
      </c>
      <c r="P20" t="n">
        <v>4065</v>
      </c>
      <c r="Q20" t="n">
        <v>51431</v>
      </c>
      <c r="R20" t="n">
        <v>6</v>
      </c>
      <c r="S20" t="n">
        <v>0</v>
      </c>
      <c r="T20" t="n">
        <v>0</v>
      </c>
      <c r="U20" t="n">
        <v>0</v>
      </c>
      <c r="V20" t="n">
        <v>49957</v>
      </c>
      <c r="W20" t="n">
        <v>397958</v>
      </c>
      <c r="X20" t="n">
        <v>17997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4295</v>
      </c>
      <c r="C21" t="inlineStr">
        <is>
          <t>Comanche County Elec Coop Assn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TX</t>
        </is>
      </c>
      <c r="H21" t="inlineStr">
        <is>
          <t>Cooperative</t>
        </is>
      </c>
      <c r="I21" t="inlineStr">
        <is>
          <t>ERCO</t>
        </is>
      </c>
      <c r="J21" t="n">
        <v>15624</v>
      </c>
      <c r="K21" t="n">
        <v>100698</v>
      </c>
      <c r="L21" t="n">
        <v>7359</v>
      </c>
      <c r="M21" t="n">
        <v>27085</v>
      </c>
      <c r="N21" t="n">
        <v>430743</v>
      </c>
      <c r="O21" t="n">
        <v>10698</v>
      </c>
      <c r="P21" t="n">
        <v>5041</v>
      </c>
      <c r="Q21" t="n">
        <v>46226</v>
      </c>
      <c r="R21" t="n">
        <v>95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47750</v>
      </c>
      <c r="W21" t="n">
        <v>577667</v>
      </c>
      <c r="X21" t="n">
        <v>18152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4939</v>
      </c>
      <c r="C22" t="inlineStr">
        <is>
          <t>Deaf Smith Electric Coop, Inc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TX</t>
        </is>
      </c>
      <c r="H22" t="inlineStr">
        <is>
          <t>Cooperative</t>
        </is>
      </c>
      <c r="I22" t="inlineStr">
        <is>
          <t>SWPP</t>
        </is>
      </c>
      <c r="J22" t="n">
        <v>4921.9</v>
      </c>
      <c r="K22" t="n">
        <v>55734</v>
      </c>
      <c r="L22" t="n">
        <v>5333</v>
      </c>
      <c r="M22" t="n">
        <v>8108.4</v>
      </c>
      <c r="N22" t="n">
        <v>150741</v>
      </c>
      <c r="O22" t="n">
        <v>1522</v>
      </c>
      <c r="P22" t="n">
        <v>42132.8</v>
      </c>
      <c r="Q22" t="n">
        <v>602401</v>
      </c>
      <c r="R22" t="n">
        <v>8457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55163.1</v>
      </c>
      <c r="W22" t="n">
        <v>808876</v>
      </c>
      <c r="X22" t="n">
        <v>15312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4975</v>
      </c>
      <c r="C23" t="inlineStr">
        <is>
          <t>Deep East Texas Elec Coop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TX</t>
        </is>
      </c>
      <c r="H23" t="inlineStr">
        <is>
          <t>Cooperative</t>
        </is>
      </c>
      <c r="I23" t="inlineStr">
        <is>
          <t>MISO</t>
        </is>
      </c>
      <c r="J23" t="n">
        <v>63407</v>
      </c>
      <c r="K23" t="n">
        <v>483986</v>
      </c>
      <c r="L23" t="n">
        <v>40404</v>
      </c>
      <c r="M23" t="n">
        <v>24234</v>
      </c>
      <c r="N23" t="n">
        <v>203246</v>
      </c>
      <c r="O23" t="n">
        <v>4924</v>
      </c>
      <c r="P23" t="n">
        <v>9577</v>
      </c>
      <c r="Q23" t="n">
        <v>136951</v>
      </c>
      <c r="R23" t="n">
        <v>25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97218</v>
      </c>
      <c r="W23" t="n">
        <v>824183</v>
      </c>
      <c r="X23" t="n">
        <v>45353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5063</v>
      </c>
      <c r="C24" t="inlineStr">
        <is>
          <t>City of Denton - (TX)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TX</t>
        </is>
      </c>
      <c r="H24" t="inlineStr">
        <is>
          <t>Municipal</t>
        </is>
      </c>
      <c r="I24" t="inlineStr">
        <is>
          <t>ERCO</t>
        </is>
      </c>
      <c r="J24" t="n">
        <v>90528.39999999999</v>
      </c>
      <c r="K24" t="n">
        <v>706593</v>
      </c>
      <c r="L24" t="n">
        <v>58941</v>
      </c>
      <c r="M24" t="n">
        <v>48485.6</v>
      </c>
      <c r="N24" t="n">
        <v>1241113</v>
      </c>
      <c r="O24" t="n">
        <v>7516</v>
      </c>
      <c r="P24" t="n">
        <v>59792</v>
      </c>
      <c r="Q24" t="n">
        <v>614906</v>
      </c>
      <c r="R24" t="n">
        <v>152</v>
      </c>
      <c r="S24" t="n">
        <v>0</v>
      </c>
      <c r="T24" t="n">
        <v>0</v>
      </c>
      <c r="U24" t="n">
        <v>0</v>
      </c>
      <c r="V24" t="n">
        <v>198806</v>
      </c>
      <c r="W24" t="n">
        <v>2562612</v>
      </c>
      <c r="X24" t="n">
        <v>66609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5078</v>
      </c>
      <c r="C25" t="inlineStr">
        <is>
          <t>Denton County Elec Coop, Inc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TX</t>
        </is>
      </c>
      <c r="H25" t="inlineStr">
        <is>
          <t>Cooperative</t>
        </is>
      </c>
      <c r="I25" t="inlineStr">
        <is>
          <t>ERCO</t>
        </is>
      </c>
      <c r="J25" t="n">
        <v>596470</v>
      </c>
      <c r="K25" t="n">
        <v>4330266</v>
      </c>
      <c r="L25" t="n">
        <v>298734</v>
      </c>
      <c r="M25" t="n">
        <v>93048.10000000001</v>
      </c>
      <c r="N25" t="n">
        <v>653218</v>
      </c>
      <c r="O25" t="n">
        <v>22050</v>
      </c>
      <c r="P25" t="n">
        <v>175840.6</v>
      </c>
      <c r="Q25" t="n">
        <v>1543171</v>
      </c>
      <c r="R25" t="n">
        <v>2999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865358.7</v>
      </c>
      <c r="W25" t="n">
        <v>6526655</v>
      </c>
      <c r="X25" t="n">
        <v>323783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5470</v>
      </c>
      <c r="C26" t="inlineStr">
        <is>
          <t>ConocoPhillips Company</t>
        </is>
      </c>
      <c r="D26" t="inlineStr">
        <is>
          <t>D</t>
        </is>
      </c>
      <c r="E26" t="inlineStr">
        <is>
          <t>Bundled</t>
        </is>
      </c>
      <c r="F26" t="inlineStr">
        <is>
          <t>O</t>
        </is>
      </c>
      <c r="G26" t="inlineStr">
        <is>
          <t>TX</t>
        </is>
      </c>
      <c r="H26" t="inlineStr">
        <is>
          <t>Retail Power Marketer</t>
        </is>
      </c>
      <c r="I26" t="inlineStr">
        <is>
          <t>ERCO</t>
        </is>
      </c>
      <c r="J26" t="n">
        <v>0</v>
      </c>
      <c r="K26" t="n">
        <v>0</v>
      </c>
      <c r="L26" t="n">
        <v>0</v>
      </c>
      <c r="M26" t="n">
        <v>1031.8</v>
      </c>
      <c r="N26" t="n">
        <v>19631</v>
      </c>
      <c r="O26" t="n">
        <v>1</v>
      </c>
      <c r="P26" t="n">
        <v>12326.1</v>
      </c>
      <c r="Q26" t="n">
        <v>247352</v>
      </c>
      <c r="R26" t="n">
        <v>1</v>
      </c>
      <c r="S26" t="n">
        <v>0</v>
      </c>
      <c r="T26" t="n">
        <v>0</v>
      </c>
      <c r="U26" t="n">
        <v>0</v>
      </c>
      <c r="V26" t="n">
        <v>13357.9</v>
      </c>
      <c r="W26" t="n">
        <v>266983</v>
      </c>
      <c r="X26" t="n">
        <v>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5701</v>
      </c>
      <c r="C27" t="inlineStr">
        <is>
          <t>El Paso Electric Co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TX</t>
        </is>
      </c>
      <c r="H27" t="inlineStr">
        <is>
          <t>Investor Owned</t>
        </is>
      </c>
      <c r="I27" t="inlineStr">
        <is>
          <t>EPE</t>
        </is>
      </c>
      <c r="J27" t="n">
        <v>358322</v>
      </c>
      <c r="K27" t="n">
        <v>2661560</v>
      </c>
      <c r="L27" t="n">
        <v>312576</v>
      </c>
      <c r="M27" t="n">
        <v>298425</v>
      </c>
      <c r="N27" t="n">
        <v>3191326</v>
      </c>
      <c r="O27" t="n">
        <v>39468</v>
      </c>
      <c r="P27" t="n">
        <v>45081</v>
      </c>
      <c r="Q27" t="n">
        <v>981503</v>
      </c>
      <c r="R27" t="n">
        <v>44</v>
      </c>
      <c r="S27" t="n">
        <v>0</v>
      </c>
      <c r="T27" t="n">
        <v>0</v>
      </c>
      <c r="U27" t="n">
        <v>0</v>
      </c>
      <c r="V27" t="n">
        <v>701828</v>
      </c>
      <c r="W27" t="n">
        <v>6834389</v>
      </c>
      <c r="X27" t="n">
        <v>352088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6173</v>
      </c>
      <c r="C28" t="inlineStr">
        <is>
          <t>Fannin County Electric Coop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TX</t>
        </is>
      </c>
      <c r="H28" t="inlineStr">
        <is>
          <t>Cooperative</t>
        </is>
      </c>
      <c r="I28" t="inlineStr">
        <is>
          <t>ERCO</t>
        </is>
      </c>
      <c r="J28" t="n">
        <v>25509</v>
      </c>
      <c r="K28" t="n">
        <v>163036</v>
      </c>
      <c r="L28" t="n">
        <v>11712</v>
      </c>
      <c r="M28" t="n">
        <v>6779</v>
      </c>
      <c r="N28" t="n">
        <v>59069</v>
      </c>
      <c r="O28" t="n">
        <v>429</v>
      </c>
      <c r="P28" t="n">
        <v>146</v>
      </c>
      <c r="Q28" t="n">
        <v>460</v>
      </c>
      <c r="R28" t="n">
        <v>31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32434</v>
      </c>
      <c r="W28" t="n">
        <v>222565</v>
      </c>
      <c r="X28" t="n">
        <v>12172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6182</v>
      </c>
      <c r="C29" t="inlineStr">
        <is>
          <t>Farmers Electric Coop, Inc - (TX)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TX</t>
        </is>
      </c>
      <c r="H29" t="inlineStr">
        <is>
          <t>Cooperative</t>
        </is>
      </c>
      <c r="I29" t="inlineStr">
        <is>
          <t>ERCO</t>
        </is>
      </c>
      <c r="J29" t="n">
        <v>144196</v>
      </c>
      <c r="K29" t="n">
        <v>1252373</v>
      </c>
      <c r="L29" t="n">
        <v>84006</v>
      </c>
      <c r="M29" t="n">
        <v>27708</v>
      </c>
      <c r="N29" t="n">
        <v>253915</v>
      </c>
      <c r="O29" t="n">
        <v>16330</v>
      </c>
      <c r="P29" t="n">
        <v>11921</v>
      </c>
      <c r="Q29" t="n">
        <v>191999</v>
      </c>
      <c r="R29" t="n">
        <v>23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183825</v>
      </c>
      <c r="W29" t="n">
        <v>1698287</v>
      </c>
      <c r="X29" t="n">
        <v>100359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6183</v>
      </c>
      <c r="C30" t="inlineStr">
        <is>
          <t>Fayette Electric Coop, Inc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TX</t>
        </is>
      </c>
      <c r="H30" t="inlineStr">
        <is>
          <t>Cooperative</t>
        </is>
      </c>
      <c r="I30" t="inlineStr">
        <is>
          <t>ERCO</t>
        </is>
      </c>
      <c r="J30" t="n">
        <v>21194</v>
      </c>
      <c r="K30" t="n">
        <v>168974</v>
      </c>
      <c r="L30" t="n">
        <v>14150</v>
      </c>
      <c r="M30" t="n">
        <v>7967</v>
      </c>
      <c r="N30" t="n">
        <v>66480</v>
      </c>
      <c r="O30" t="n">
        <v>2064</v>
      </c>
      <c r="P30" t="n">
        <v>9650</v>
      </c>
      <c r="Q30" t="n">
        <v>127810</v>
      </c>
      <c r="R30" t="n">
        <v>16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38811</v>
      </c>
      <c r="W30" t="n">
        <v>363264</v>
      </c>
      <c r="X30" t="n">
        <v>16230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6427</v>
      </c>
      <c r="C31" t="inlineStr">
        <is>
          <t>City of Floresville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TX</t>
        </is>
      </c>
      <c r="H31" t="inlineStr">
        <is>
          <t>Municipal</t>
        </is>
      </c>
      <c r="I31" t="inlineStr">
        <is>
          <t>ERCO</t>
        </is>
      </c>
      <c r="J31" t="n">
        <v>31990.7</v>
      </c>
      <c r="K31" t="n">
        <v>258528</v>
      </c>
      <c r="L31" t="n">
        <v>15797</v>
      </c>
      <c r="M31" t="n">
        <v>16773.3</v>
      </c>
      <c r="N31" t="n">
        <v>129723</v>
      </c>
      <c r="O31" t="n">
        <v>2118</v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48764</v>
      </c>
      <c r="W31" t="n">
        <v>388251</v>
      </c>
      <c r="X31" t="n">
        <v>17915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6958</v>
      </c>
      <c r="C32" t="inlineStr">
        <is>
          <t>City of Garland - (TX)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TX</t>
        </is>
      </c>
      <c r="H32" t="inlineStr">
        <is>
          <t>Municipal</t>
        </is>
      </c>
      <c r="I32" t="inlineStr">
        <is>
          <t>ERCO</t>
        </is>
      </c>
      <c r="J32" t="n">
        <v>122442</v>
      </c>
      <c r="K32" t="n">
        <v>908633</v>
      </c>
      <c r="L32" t="n">
        <v>69421</v>
      </c>
      <c r="M32" t="n">
        <v>100348</v>
      </c>
      <c r="N32" t="n">
        <v>809954</v>
      </c>
      <c r="O32" t="n">
        <v>6908</v>
      </c>
      <c r="P32" t="n">
        <v>21172</v>
      </c>
      <c r="Q32" t="n">
        <v>319696</v>
      </c>
      <c r="R32" t="n">
        <v>8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243962</v>
      </c>
      <c r="W32" t="n">
        <v>2038283</v>
      </c>
      <c r="X32" t="n">
        <v>76337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7129</v>
      </c>
      <c r="C33" t="inlineStr">
        <is>
          <t>City of Georgetown - (TX)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TX</t>
        </is>
      </c>
      <c r="H33" t="inlineStr">
        <is>
          <t>Municipal</t>
        </is>
      </c>
      <c r="I33" t="inlineStr">
        <is>
          <t>ERCO</t>
        </is>
      </c>
      <c r="J33" t="n">
        <v>45007.9</v>
      </c>
      <c r="K33" t="n">
        <v>324460</v>
      </c>
      <c r="L33" t="n">
        <v>29904</v>
      </c>
      <c r="M33" t="n">
        <v>38060.9</v>
      </c>
      <c r="N33" t="n">
        <v>347997</v>
      </c>
      <c r="O33" t="n">
        <v>3124</v>
      </c>
      <c r="P33" t="n">
        <v>14637.4</v>
      </c>
      <c r="Q33" t="n">
        <v>118481</v>
      </c>
      <c r="R33" t="n">
        <v>38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97706.2</v>
      </c>
      <c r="W33" t="n">
        <v>790938</v>
      </c>
      <c r="X33" t="n">
        <v>33066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7554</v>
      </c>
      <c r="C34" t="inlineStr">
        <is>
          <t>Green Mountain Energy Company</t>
        </is>
      </c>
      <c r="D34" t="inlineStr">
        <is>
          <t>D</t>
        </is>
      </c>
      <c r="E34" t="inlineStr">
        <is>
          <t>Bundled</t>
        </is>
      </c>
      <c r="F34" t="inlineStr">
        <is>
          <t>O</t>
        </is>
      </c>
      <c r="G34" t="inlineStr">
        <is>
          <t>TX</t>
        </is>
      </c>
      <c r="H34" t="inlineStr">
        <is>
          <t>Retail Power Marketer</t>
        </is>
      </c>
      <c r="I34" t="inlineStr">
        <is>
          <t>ERCO</t>
        </is>
      </c>
      <c r="J34" t="n">
        <v>560259.7</v>
      </c>
      <c r="K34" t="n">
        <v>3197910</v>
      </c>
      <c r="L34" t="n">
        <v>292172</v>
      </c>
      <c r="M34" t="n">
        <v>119924.4</v>
      </c>
      <c r="N34" t="n">
        <v>1019430</v>
      </c>
      <c r="O34" t="n">
        <v>28263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680184.1</v>
      </c>
      <c r="W34" t="n">
        <v>4217340</v>
      </c>
      <c r="X34" t="n">
        <v>320435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7559</v>
      </c>
      <c r="C35" t="inlineStr">
        <is>
          <t>Grayson-Collin Elec Coop, Inc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TX</t>
        </is>
      </c>
      <c r="H35" t="inlineStr">
        <is>
          <t>Cooperative</t>
        </is>
      </c>
      <c r="I35" t="inlineStr">
        <is>
          <t>ERCO</t>
        </is>
      </c>
      <c r="J35" t="n">
        <v>201519</v>
      </c>
      <c r="K35" t="n">
        <v>1228741</v>
      </c>
      <c r="L35" t="n">
        <v>90464</v>
      </c>
      <c r="M35" t="n">
        <v>44627</v>
      </c>
      <c r="N35" t="n">
        <v>301890</v>
      </c>
      <c r="O35" t="n">
        <v>5055</v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246146</v>
      </c>
      <c r="W35" t="n">
        <v>1530631</v>
      </c>
      <c r="X35" t="n">
        <v>95519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7561</v>
      </c>
      <c r="C36" t="inlineStr">
        <is>
          <t>Greenbelt Electric Coop, Inc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TX</t>
        </is>
      </c>
      <c r="H36" t="inlineStr">
        <is>
          <t>Cooperative</t>
        </is>
      </c>
      <c r="I36" t="inlineStr">
        <is>
          <t>ERCO</t>
        </is>
      </c>
      <c r="J36" t="n">
        <v>5113</v>
      </c>
      <c r="K36" t="n">
        <v>28403</v>
      </c>
      <c r="L36" t="n">
        <v>3912</v>
      </c>
      <c r="M36" t="n">
        <v>3158</v>
      </c>
      <c r="N36" t="n">
        <v>22177</v>
      </c>
      <c r="O36" t="n">
        <v>825</v>
      </c>
      <c r="P36" t="n">
        <v>12927</v>
      </c>
      <c r="Q36" t="n">
        <v>158623</v>
      </c>
      <c r="R36" t="n">
        <v>926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21198</v>
      </c>
      <c r="W36" t="n">
        <v>209203</v>
      </c>
      <c r="X36" t="n">
        <v>5663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7634</v>
      </c>
      <c r="C37" t="inlineStr">
        <is>
          <t>City of Greenville - (TX)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TX</t>
        </is>
      </c>
      <c r="H37" t="inlineStr">
        <is>
          <t>Municipal</t>
        </is>
      </c>
      <c r="I37" t="inlineStr">
        <is>
          <t>ERCO</t>
        </is>
      </c>
      <c r="J37" t="n">
        <v>28417</v>
      </c>
      <c r="K37" t="n">
        <v>190082</v>
      </c>
      <c r="L37" t="n">
        <v>15165</v>
      </c>
      <c r="M37" t="n">
        <v>35430</v>
      </c>
      <c r="N37" t="n">
        <v>351199</v>
      </c>
      <c r="O37" t="n">
        <v>2274</v>
      </c>
      <c r="P37" t="inlineStr">
        <is>
          <t>.</t>
        </is>
      </c>
      <c r="Q37" t="inlineStr">
        <is>
          <t>.</t>
        </is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63847</v>
      </c>
      <c r="W37" t="n">
        <v>541281</v>
      </c>
      <c r="X37" t="n">
        <v>17439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7752</v>
      </c>
      <c r="C38" t="inlineStr">
        <is>
          <t>Guadalupe Valley Elec Coop Inc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TX</t>
        </is>
      </c>
      <c r="H38" t="inlineStr">
        <is>
          <t>Cooperative</t>
        </is>
      </c>
      <c r="I38" t="inlineStr">
        <is>
          <t>ERCO</t>
        </is>
      </c>
      <c r="J38" t="n">
        <v>165374.3</v>
      </c>
      <c r="K38" t="n">
        <v>1324456</v>
      </c>
      <c r="L38" t="n">
        <v>92189</v>
      </c>
      <c r="M38" t="n">
        <v>41649.7</v>
      </c>
      <c r="N38" t="n">
        <v>366237</v>
      </c>
      <c r="O38" t="n">
        <v>10544</v>
      </c>
      <c r="P38" t="n">
        <v>65823</v>
      </c>
      <c r="Q38" t="n">
        <v>1219504</v>
      </c>
      <c r="R38" t="n">
        <v>1048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272847</v>
      </c>
      <c r="W38" t="n">
        <v>2910197</v>
      </c>
      <c r="X38" t="n">
        <v>103781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7979</v>
      </c>
      <c r="C39" t="inlineStr">
        <is>
          <t>Hamilton County Elec Coop Assn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TX</t>
        </is>
      </c>
      <c r="H39" t="inlineStr">
        <is>
          <t>Cooperative</t>
        </is>
      </c>
      <c r="I39" t="inlineStr">
        <is>
          <t>ERCO</t>
        </is>
      </c>
      <c r="J39" t="n">
        <v>31636.6</v>
      </c>
      <c r="K39" t="n">
        <v>231024</v>
      </c>
      <c r="L39" t="n">
        <v>19594</v>
      </c>
      <c r="M39" t="n">
        <v>3995.5</v>
      </c>
      <c r="N39" t="n">
        <v>31170</v>
      </c>
      <c r="O39" t="n">
        <v>798</v>
      </c>
      <c r="P39" t="inlineStr">
        <is>
          <t>.</t>
        </is>
      </c>
      <c r="Q39" t="inlineStr">
        <is>
          <t>.</t>
        </is>
      </c>
      <c r="R39" t="inlineStr">
        <is>
          <t>.</t>
        </is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35632.1</v>
      </c>
      <c r="W39" t="n">
        <v>262194</v>
      </c>
      <c r="X39" t="n">
        <v>20392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8620</v>
      </c>
      <c r="C40" t="inlineStr">
        <is>
          <t>HILCO Electric Cooperative, Inc.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TX</t>
        </is>
      </c>
      <c r="H40" t="inlineStr">
        <is>
          <t>Cooperative</t>
        </is>
      </c>
      <c r="I40" t="inlineStr">
        <is>
          <t>ERCO</t>
        </is>
      </c>
      <c r="J40" t="n">
        <v>69635</v>
      </c>
      <c r="K40" t="n">
        <v>467038</v>
      </c>
      <c r="L40" t="n">
        <v>26883</v>
      </c>
      <c r="M40" t="n">
        <v>26228</v>
      </c>
      <c r="N40" t="n">
        <v>180767</v>
      </c>
      <c r="O40" t="n">
        <v>8438</v>
      </c>
      <c r="P40" t="n">
        <v>728</v>
      </c>
      <c r="Q40" t="n">
        <v>7411</v>
      </c>
      <c r="R40" t="n">
        <v>1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96591</v>
      </c>
      <c r="W40" t="n">
        <v>655216</v>
      </c>
      <c r="X40" t="n">
        <v>35322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8898</v>
      </c>
      <c r="C41" t="inlineStr">
        <is>
          <t>Houston County Elec Coop Inc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TX</t>
        </is>
      </c>
      <c r="H41" t="inlineStr">
        <is>
          <t>Cooperative</t>
        </is>
      </c>
      <c r="I41" t="inlineStr">
        <is>
          <t>ERCO</t>
        </is>
      </c>
      <c r="J41" t="n">
        <v>36637</v>
      </c>
      <c r="K41" t="n">
        <v>220692</v>
      </c>
      <c r="L41" t="n">
        <v>21426</v>
      </c>
      <c r="M41" t="n">
        <v>7600.4</v>
      </c>
      <c r="N41" t="n">
        <v>59552</v>
      </c>
      <c r="O41" t="n">
        <v>1466</v>
      </c>
      <c r="P41" t="n">
        <v>9848.700000000001</v>
      </c>
      <c r="Q41" t="n">
        <v>129188</v>
      </c>
      <c r="R41" t="n">
        <v>9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54086.1</v>
      </c>
      <c r="W41" t="n">
        <v>409432</v>
      </c>
      <c r="X41" t="n">
        <v>22901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9590</v>
      </c>
      <c r="C42" t="inlineStr">
        <is>
          <t>Jackson Electric Coop, Inc - (TX)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TX</t>
        </is>
      </c>
      <c r="H42" t="inlineStr">
        <is>
          <t>Cooperative</t>
        </is>
      </c>
      <c r="I42" t="inlineStr">
        <is>
          <t>ERCO</t>
        </is>
      </c>
      <c r="J42" t="n">
        <v>22826</v>
      </c>
      <c r="K42" t="n">
        <v>170123</v>
      </c>
      <c r="L42" t="n">
        <v>15620</v>
      </c>
      <c r="M42" t="n">
        <v>5752</v>
      </c>
      <c r="N42" t="n">
        <v>47660</v>
      </c>
      <c r="O42" t="n">
        <v>1722</v>
      </c>
      <c r="P42" t="n">
        <v>46174</v>
      </c>
      <c r="Q42" t="n">
        <v>764116</v>
      </c>
      <c r="R42" t="n">
        <v>60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74752</v>
      </c>
      <c r="W42" t="n">
        <v>981899</v>
      </c>
      <c r="X42" t="n">
        <v>17402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9668</v>
      </c>
      <c r="C43" t="inlineStr">
        <is>
          <t>Jasper-Newton Elec Coop, Inc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TX</t>
        </is>
      </c>
      <c r="H43" t="inlineStr">
        <is>
          <t>Cooperative</t>
        </is>
      </c>
      <c r="I43" t="inlineStr">
        <is>
          <t>MISO</t>
        </is>
      </c>
      <c r="J43" t="n">
        <v>35690</v>
      </c>
      <c r="K43" t="n">
        <v>275394</v>
      </c>
      <c r="L43" t="n">
        <v>21180</v>
      </c>
      <c r="M43" t="n">
        <v>6814</v>
      </c>
      <c r="N43" t="n">
        <v>44456</v>
      </c>
      <c r="O43" t="n">
        <v>2571</v>
      </c>
      <c r="P43" t="n">
        <v>11484</v>
      </c>
      <c r="Q43" t="n">
        <v>135696</v>
      </c>
      <c r="R43" t="n">
        <v>169</v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53988</v>
      </c>
      <c r="W43" t="n">
        <v>455546</v>
      </c>
      <c r="X43" t="n">
        <v>23920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9949</v>
      </c>
      <c r="C44" t="inlineStr">
        <is>
          <t>Just Energy</t>
        </is>
      </c>
      <c r="D44" t="inlineStr">
        <is>
          <t>D</t>
        </is>
      </c>
      <c r="E44" t="inlineStr">
        <is>
          <t>Bundled</t>
        </is>
      </c>
      <c r="F44" t="inlineStr">
        <is>
          <t>O</t>
        </is>
      </c>
      <c r="G44" t="inlineStr">
        <is>
          <t>TX</t>
        </is>
      </c>
      <c r="H44" t="inlineStr">
        <is>
          <t>Retail Power Marketer</t>
        </is>
      </c>
      <c r="I44" t="inlineStr">
        <is>
          <t>ERCO</t>
        </is>
      </c>
      <c r="J44" t="n">
        <v>906643.8</v>
      </c>
      <c r="K44" t="n">
        <v>5984993</v>
      </c>
      <c r="L44" t="n">
        <v>407723</v>
      </c>
      <c r="M44" t="n">
        <v>64146.9</v>
      </c>
      <c r="N44" t="n">
        <v>444623</v>
      </c>
      <c r="O44" t="n">
        <v>20249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970790.7</v>
      </c>
      <c r="W44" t="n">
        <v>6429616</v>
      </c>
      <c r="X44" t="n">
        <v>427972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10009</v>
      </c>
      <c r="C45" t="inlineStr">
        <is>
          <t>Karnes Electric Coop Inc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TX</t>
        </is>
      </c>
      <c r="H45" t="inlineStr">
        <is>
          <t>Cooperative</t>
        </is>
      </c>
      <c r="I45" t="inlineStr">
        <is>
          <t>ERCO</t>
        </is>
      </c>
      <c r="J45" t="n">
        <v>22940</v>
      </c>
      <c r="K45" t="n">
        <v>231647</v>
      </c>
      <c r="L45" t="n">
        <v>13222</v>
      </c>
      <c r="M45" t="n">
        <v>59235</v>
      </c>
      <c r="N45" t="n">
        <v>640754</v>
      </c>
      <c r="O45" t="n">
        <v>9416</v>
      </c>
      <c r="P45" t="n">
        <v>38785</v>
      </c>
      <c r="Q45" t="n">
        <v>629504</v>
      </c>
      <c r="R45" t="n">
        <v>511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120960</v>
      </c>
      <c r="W45" t="n">
        <v>1501905</v>
      </c>
      <c r="X45" t="n">
        <v>23149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10625</v>
      </c>
      <c r="C46" t="inlineStr">
        <is>
          <t>Lamb County Electric Coop, Inc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TX</t>
        </is>
      </c>
      <c r="H46" t="inlineStr">
        <is>
          <t>Cooperative</t>
        </is>
      </c>
      <c r="I46" t="inlineStr">
        <is>
          <t>SWPP</t>
        </is>
      </c>
      <c r="J46" t="n">
        <v>3464</v>
      </c>
      <c r="K46" t="n">
        <v>36392</v>
      </c>
      <c r="L46" t="n">
        <v>2810</v>
      </c>
      <c r="M46" t="n">
        <v>5141</v>
      </c>
      <c r="N46" t="n">
        <v>61242</v>
      </c>
      <c r="O46" t="n">
        <v>1528</v>
      </c>
      <c r="P46" t="n">
        <v>20496</v>
      </c>
      <c r="Q46" t="n">
        <v>269268</v>
      </c>
      <c r="R46" t="n">
        <v>7296</v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29101</v>
      </c>
      <c r="W46" t="n">
        <v>366902</v>
      </c>
      <c r="X46" t="n">
        <v>11634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10649</v>
      </c>
      <c r="C47" t="inlineStr">
        <is>
          <t>Lamar County Elec Coop Assn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TX</t>
        </is>
      </c>
      <c r="H47" t="inlineStr">
        <is>
          <t>Cooperative</t>
        </is>
      </c>
      <c r="I47" t="inlineStr">
        <is>
          <t>ERCO</t>
        </is>
      </c>
      <c r="J47" t="n">
        <v>23023</v>
      </c>
      <c r="K47" t="n">
        <v>167869</v>
      </c>
      <c r="L47" t="n">
        <v>12935</v>
      </c>
      <c r="M47" t="n">
        <v>14316.7</v>
      </c>
      <c r="N47" t="n">
        <v>126944</v>
      </c>
      <c r="O47" t="n">
        <v>1078</v>
      </c>
      <c r="P47" t="inlineStr">
        <is>
          <t>.</t>
        </is>
      </c>
      <c r="Q47" t="inlineStr">
        <is>
          <t>.</t>
        </is>
      </c>
      <c r="R47" t="inlineStr">
        <is>
          <t>.</t>
        </is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37339.7</v>
      </c>
      <c r="W47" t="n">
        <v>294813</v>
      </c>
      <c r="X47" t="n">
        <v>14013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10817</v>
      </c>
      <c r="C48" t="inlineStr">
        <is>
          <t>Lea County Electric Coop, Inc - (NM)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TX</t>
        </is>
      </c>
      <c r="H48" t="inlineStr">
        <is>
          <t>Cooperative</t>
        </is>
      </c>
      <c r="I48" t="inlineStr">
        <is>
          <t>SWPP</t>
        </is>
      </c>
      <c r="J48" t="n">
        <v>3037</v>
      </c>
      <c r="K48" t="n">
        <v>30939</v>
      </c>
      <c r="L48" t="n">
        <v>1989</v>
      </c>
      <c r="M48" t="n">
        <v>34218</v>
      </c>
      <c r="N48" t="n">
        <v>440854</v>
      </c>
      <c r="O48" t="n">
        <v>3304</v>
      </c>
      <c r="P48" t="n">
        <v>11024</v>
      </c>
      <c r="Q48" t="n">
        <v>162579</v>
      </c>
      <c r="R48" t="n">
        <v>16</v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48279</v>
      </c>
      <c r="W48" t="n">
        <v>634372</v>
      </c>
      <c r="X48" t="n">
        <v>5309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11014</v>
      </c>
      <c r="C49" t="inlineStr">
        <is>
          <t>Lighthouse Electric Coop, Inc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TX</t>
        </is>
      </c>
      <c r="H49" t="inlineStr">
        <is>
          <t>Cooperative</t>
        </is>
      </c>
      <c r="I49" t="inlineStr">
        <is>
          <t>ERCO</t>
        </is>
      </c>
      <c r="J49" t="n">
        <v>3998.4</v>
      </c>
      <c r="K49" t="n">
        <v>27407</v>
      </c>
      <c r="L49" t="n">
        <v>3878</v>
      </c>
      <c r="M49" t="n">
        <v>14781.9</v>
      </c>
      <c r="N49" t="n">
        <v>442650</v>
      </c>
      <c r="O49" t="n">
        <v>425</v>
      </c>
      <c r="P49" t="n">
        <v>19558.2</v>
      </c>
      <c r="Q49" t="n">
        <v>148949</v>
      </c>
      <c r="R49" t="n">
        <v>5197</v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38338.5</v>
      </c>
      <c r="W49" t="n">
        <v>619006</v>
      </c>
      <c r="X49" t="n">
        <v>9500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11292</v>
      </c>
      <c r="C50" t="inlineStr">
        <is>
          <t>City of Lubbock - (TX)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TX</t>
        </is>
      </c>
      <c r="H50" t="inlineStr">
        <is>
          <t>Municipal</t>
        </is>
      </c>
      <c r="I50" t="inlineStr">
        <is>
          <t>ERCO</t>
        </is>
      </c>
      <c r="J50" t="n">
        <v>32562</v>
      </c>
      <c r="K50" t="n">
        <v>237850</v>
      </c>
      <c r="L50" t="n">
        <v>4825</v>
      </c>
      <c r="M50" t="n">
        <v>34716</v>
      </c>
      <c r="N50" t="n">
        <v>320854</v>
      </c>
      <c r="O50" t="n">
        <v>788</v>
      </c>
      <c r="P50" t="n">
        <v>2308</v>
      </c>
      <c r="Q50" t="n">
        <v>31303</v>
      </c>
      <c r="R50" t="n">
        <v>1</v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69586</v>
      </c>
      <c r="W50" t="n">
        <v>590007</v>
      </c>
      <c r="X50" t="n">
        <v>5614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11364</v>
      </c>
      <c r="C51" t="inlineStr">
        <is>
          <t>Lyntegar Electric Coop, Inc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TX</t>
        </is>
      </c>
      <c r="H51" t="inlineStr">
        <is>
          <t>Cooperative</t>
        </is>
      </c>
      <c r="I51" t="inlineStr">
        <is>
          <t>SWPP</t>
        </is>
      </c>
      <c r="J51" t="n">
        <v>10886</v>
      </c>
      <c r="K51" t="n">
        <v>121040</v>
      </c>
      <c r="L51" t="n">
        <v>9021</v>
      </c>
      <c r="M51" t="n">
        <v>25238</v>
      </c>
      <c r="N51" t="n">
        <v>375771</v>
      </c>
      <c r="O51" t="n">
        <v>3507</v>
      </c>
      <c r="P51" t="n">
        <v>36403</v>
      </c>
      <c r="Q51" t="n">
        <v>409289</v>
      </c>
      <c r="R51" t="n">
        <v>11354</v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72527</v>
      </c>
      <c r="W51" t="n">
        <v>906100</v>
      </c>
      <c r="X51" t="n">
        <v>23882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11501</v>
      </c>
      <c r="C52" t="inlineStr">
        <is>
          <t>Magic Valley Electric Coop Inc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TX</t>
        </is>
      </c>
      <c r="H52" t="inlineStr">
        <is>
          <t>Cooperative</t>
        </is>
      </c>
      <c r="I52" t="inlineStr">
        <is>
          <t>ERCO</t>
        </is>
      </c>
      <c r="J52" t="n">
        <v>200348.7</v>
      </c>
      <c r="K52" t="n">
        <v>1963936</v>
      </c>
      <c r="L52" t="n">
        <v>126402</v>
      </c>
      <c r="M52" t="n">
        <v>31795.6</v>
      </c>
      <c r="N52" t="n">
        <v>292304</v>
      </c>
      <c r="O52" t="n">
        <v>18438</v>
      </c>
      <c r="P52" t="n">
        <v>50248.9</v>
      </c>
      <c r="Q52" t="n">
        <v>603427</v>
      </c>
      <c r="R52" t="n">
        <v>915</v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282393.2</v>
      </c>
      <c r="W52" t="n">
        <v>2859667</v>
      </c>
      <c r="X52" t="n">
        <v>145755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12268</v>
      </c>
      <c r="C53" t="inlineStr">
        <is>
          <t>Medina Electric Coop, Inc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TX</t>
        </is>
      </c>
      <c r="H53" t="inlineStr">
        <is>
          <t>Cooperative</t>
        </is>
      </c>
      <c r="I53" t="inlineStr">
        <is>
          <t>ERCO</t>
        </is>
      </c>
      <c r="J53" t="n">
        <v>49460.6</v>
      </c>
      <c r="K53" t="n">
        <v>408889</v>
      </c>
      <c r="L53" t="n">
        <v>30205</v>
      </c>
      <c r="M53" t="n">
        <v>32024.5</v>
      </c>
      <c r="N53" t="n">
        <v>314086</v>
      </c>
      <c r="O53" t="n">
        <v>6325</v>
      </c>
      <c r="P53" t="n">
        <v>64484</v>
      </c>
      <c r="Q53" t="n">
        <v>862775</v>
      </c>
      <c r="R53" t="n">
        <v>1115</v>
      </c>
      <c r="S53" t="n">
        <v>0</v>
      </c>
      <c r="T53" t="n">
        <v>0</v>
      </c>
      <c r="U53" t="n">
        <v>0</v>
      </c>
      <c r="V53" t="n">
        <v>145969.1</v>
      </c>
      <c r="W53" t="n">
        <v>1585750</v>
      </c>
      <c r="X53" t="n">
        <v>37645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12452</v>
      </c>
      <c r="C54" t="inlineStr">
        <is>
          <t>Mid-South Electric Coop Assn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TX</t>
        </is>
      </c>
      <c r="H54" t="inlineStr">
        <is>
          <t>Cooperative</t>
        </is>
      </c>
      <c r="I54" t="inlineStr">
        <is>
          <t>ERCO</t>
        </is>
      </c>
      <c r="J54" t="n">
        <v>76901.7</v>
      </c>
      <c r="K54" t="n">
        <v>546054</v>
      </c>
      <c r="L54" t="n">
        <v>36267</v>
      </c>
      <c r="M54" t="n">
        <v>23294.1</v>
      </c>
      <c r="N54" t="n">
        <v>161693</v>
      </c>
      <c r="O54" t="n">
        <v>5043</v>
      </c>
      <c r="P54" t="n">
        <v>28350.6</v>
      </c>
      <c r="Q54" t="n">
        <v>314315</v>
      </c>
      <c r="R54" t="n">
        <v>21</v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128546.4</v>
      </c>
      <c r="W54" t="n">
        <v>1022062</v>
      </c>
      <c r="X54" t="n">
        <v>41331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12917</v>
      </c>
      <c r="C55" t="inlineStr">
        <is>
          <t>Morgan Stanley Capital Grp Inc</t>
        </is>
      </c>
      <c r="D55" t="inlineStr">
        <is>
          <t>D</t>
        </is>
      </c>
      <c r="E55" t="inlineStr">
        <is>
          <t>Bundled</t>
        </is>
      </c>
      <c r="F55" t="inlineStr">
        <is>
          <t>O</t>
        </is>
      </c>
      <c r="G55" t="inlineStr">
        <is>
          <t>TX</t>
        </is>
      </c>
      <c r="H55" t="inlineStr">
        <is>
          <t>Retail Power Marketer</t>
        </is>
      </c>
      <c r="I55" t="inlineStr">
        <is>
          <t>ERCO</t>
        </is>
      </c>
      <c r="J55" t="inlineStr">
        <is>
          <t>.</t>
        </is>
      </c>
      <c r="K55" t="inlineStr">
        <is>
          <t>.</t>
        </is>
      </c>
      <c r="L55" t="inlineStr">
        <is>
          <t>.</t>
        </is>
      </c>
      <c r="M55" t="n">
        <v>26763.8</v>
      </c>
      <c r="N55" t="n">
        <v>237168</v>
      </c>
      <c r="O55" t="n">
        <v>2</v>
      </c>
      <c r="P55" t="inlineStr">
        <is>
          <t>.</t>
        </is>
      </c>
      <c r="Q55" t="inlineStr">
        <is>
          <t>.</t>
        </is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n">
        <v>26763.8</v>
      </c>
      <c r="W55" t="n">
        <v>237168</v>
      </c>
      <c r="X55" t="n">
        <v>2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13332</v>
      </c>
      <c r="C56" t="inlineStr">
        <is>
          <t>Navarro County Elec Coop, Inc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TX</t>
        </is>
      </c>
      <c r="H56" t="inlineStr">
        <is>
          <t>Cooperative</t>
        </is>
      </c>
      <c r="I56" t="inlineStr">
        <is>
          <t>ERCO</t>
        </is>
      </c>
      <c r="J56" t="n">
        <v>38926</v>
      </c>
      <c r="K56" t="n">
        <v>273090</v>
      </c>
      <c r="L56" t="n">
        <v>18435</v>
      </c>
      <c r="M56" t="n">
        <v>7105</v>
      </c>
      <c r="N56" t="n">
        <v>48369</v>
      </c>
      <c r="O56" t="n">
        <v>1814</v>
      </c>
      <c r="P56" t="n">
        <v>17828</v>
      </c>
      <c r="Q56" t="n">
        <v>242553</v>
      </c>
      <c r="R56" t="n">
        <v>13</v>
      </c>
      <c r="S56" t="inlineStr">
        <is>
          <t>.</t>
        </is>
      </c>
      <c r="T56" t="inlineStr">
        <is>
          <t>.</t>
        </is>
      </c>
      <c r="U56" t="inlineStr">
        <is>
          <t>.</t>
        </is>
      </c>
      <c r="V56" t="n">
        <v>63859</v>
      </c>
      <c r="W56" t="n">
        <v>564012</v>
      </c>
      <c r="X56" t="n">
        <v>20262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13374</v>
      </c>
      <c r="C57" t="inlineStr">
        <is>
          <t>Constellation NewEnergy, Inc</t>
        </is>
      </c>
      <c r="D57" t="inlineStr">
        <is>
          <t>D</t>
        </is>
      </c>
      <c r="E57" t="inlineStr">
        <is>
          <t>Bundled</t>
        </is>
      </c>
      <c r="F57" t="inlineStr">
        <is>
          <t>O</t>
        </is>
      </c>
      <c r="G57" t="inlineStr">
        <is>
          <t>TX</t>
        </is>
      </c>
      <c r="H57" t="inlineStr">
        <is>
          <t>Retail Power Marketer</t>
        </is>
      </c>
      <c r="I57" t="inlineStr">
        <is>
          <t>ERCO</t>
        </is>
      </c>
      <c r="J57" t="n">
        <v>328069.8</v>
      </c>
      <c r="K57" t="n">
        <v>2057121</v>
      </c>
      <c r="L57" t="n">
        <v>139928</v>
      </c>
      <c r="M57" t="n">
        <v>687079.4</v>
      </c>
      <c r="N57" t="n">
        <v>9063868</v>
      </c>
      <c r="O57" t="n">
        <v>56492</v>
      </c>
      <c r="P57" t="n">
        <v>70547.60000000001</v>
      </c>
      <c r="Q57" t="n">
        <v>1400738</v>
      </c>
      <c r="R57" t="n">
        <v>399</v>
      </c>
      <c r="S57" t="n">
        <v>0</v>
      </c>
      <c r="T57" t="n">
        <v>0</v>
      </c>
      <c r="U57" t="n">
        <v>0</v>
      </c>
      <c r="V57" t="n">
        <v>1085696.8</v>
      </c>
      <c r="W57" t="n">
        <v>12521727</v>
      </c>
      <c r="X57" t="n">
        <v>196819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13418</v>
      </c>
      <c r="C58" t="inlineStr">
        <is>
          <t>City of New Braunfels - (TX)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TX</t>
        </is>
      </c>
      <c r="H58" t="inlineStr">
        <is>
          <t>Municipal</t>
        </is>
      </c>
      <c r="I58" t="inlineStr">
        <is>
          <t>ERCO</t>
        </is>
      </c>
      <c r="J58" t="n">
        <v>89975</v>
      </c>
      <c r="K58" t="n">
        <v>682873</v>
      </c>
      <c r="L58" t="n">
        <v>53975</v>
      </c>
      <c r="M58" t="n">
        <v>58920</v>
      </c>
      <c r="N58" t="n">
        <v>482519</v>
      </c>
      <c r="O58" t="n">
        <v>6470</v>
      </c>
      <c r="P58" t="n">
        <v>52854.3</v>
      </c>
      <c r="Q58" t="n">
        <v>580021</v>
      </c>
      <c r="R58" t="n">
        <v>18</v>
      </c>
      <c r="S58" t="inlineStr">
        <is>
          <t>.</t>
        </is>
      </c>
      <c r="T58" t="inlineStr">
        <is>
          <t>.</t>
        </is>
      </c>
      <c r="U58" t="inlineStr">
        <is>
          <t>.</t>
        </is>
      </c>
      <c r="V58" t="n">
        <v>201749.3</v>
      </c>
      <c r="W58" t="n">
        <v>1745413</v>
      </c>
      <c r="X58" t="n">
        <v>60463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13757</v>
      </c>
      <c r="C59" t="inlineStr">
        <is>
          <t>North Plains Electric Coop Inc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TX</t>
        </is>
      </c>
      <c r="H59" t="inlineStr">
        <is>
          <t>Cooperative</t>
        </is>
      </c>
      <c r="I59" t="inlineStr">
        <is>
          <t>SWPP</t>
        </is>
      </c>
      <c r="J59" t="n">
        <v>3440</v>
      </c>
      <c r="K59" t="n">
        <v>33900</v>
      </c>
      <c r="L59" t="n">
        <v>3081</v>
      </c>
      <c r="M59" t="n">
        <v>9035</v>
      </c>
      <c r="N59" t="n">
        <v>107126</v>
      </c>
      <c r="O59" t="n">
        <v>2678</v>
      </c>
      <c r="P59" t="n">
        <v>18736</v>
      </c>
      <c r="Q59" t="n">
        <v>275762</v>
      </c>
      <c r="R59" t="n">
        <v>1444</v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31211</v>
      </c>
      <c r="W59" t="n">
        <v>416788</v>
      </c>
      <c r="X59" t="n">
        <v>7203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13830</v>
      </c>
      <c r="C60" t="inlineStr">
        <is>
          <t>Nueces Electric Cooperative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TX</t>
        </is>
      </c>
      <c r="H60" t="inlineStr">
        <is>
          <t>Cooperative</t>
        </is>
      </c>
      <c r="I60" t="inlineStr">
        <is>
          <t>ERCO</t>
        </is>
      </c>
      <c r="J60" t="n">
        <v>37552.7</v>
      </c>
      <c r="K60" t="n">
        <v>274361</v>
      </c>
      <c r="L60" t="n">
        <v>18038</v>
      </c>
      <c r="M60" t="n">
        <v>7348.2</v>
      </c>
      <c r="N60" t="n">
        <v>69659</v>
      </c>
      <c r="O60" t="n">
        <v>1970</v>
      </c>
      <c r="P60" t="n">
        <v>492.3</v>
      </c>
      <c r="Q60" t="n">
        <v>1990</v>
      </c>
      <c r="R60" t="n">
        <v>34</v>
      </c>
      <c r="S60" t="n">
        <v>0</v>
      </c>
      <c r="T60" t="n">
        <v>0</v>
      </c>
      <c r="U60" t="n">
        <v>0</v>
      </c>
      <c r="V60" t="n">
        <v>45393.2</v>
      </c>
      <c r="W60" t="n">
        <v>346010</v>
      </c>
      <c r="X60" t="n">
        <v>20042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13830</v>
      </c>
      <c r="C61" t="inlineStr">
        <is>
          <t>Nueces Electric Cooperative</t>
        </is>
      </c>
      <c r="D61" t="inlineStr">
        <is>
          <t>D</t>
        </is>
      </c>
      <c r="E61" t="inlineStr">
        <is>
          <t>Bundled</t>
        </is>
      </c>
      <c r="F61" t="inlineStr">
        <is>
          <t>O</t>
        </is>
      </c>
      <c r="G61" t="inlineStr">
        <is>
          <t>TX</t>
        </is>
      </c>
      <c r="H61" t="inlineStr">
        <is>
          <t>Cooperative</t>
        </is>
      </c>
      <c r="I61" t="inlineStr">
        <is>
          <t>ERCO</t>
        </is>
      </c>
      <c r="J61" t="n">
        <v>38147.6</v>
      </c>
      <c r="K61" t="n">
        <v>434129</v>
      </c>
      <c r="L61" t="n">
        <v>28371</v>
      </c>
      <c r="M61" t="n">
        <v>7189.8</v>
      </c>
      <c r="N61" t="n">
        <v>80190</v>
      </c>
      <c r="O61" t="n">
        <v>4190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45337.4</v>
      </c>
      <c r="W61" t="n">
        <v>514319</v>
      </c>
      <c r="X61" t="n">
        <v>32561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14424</v>
      </c>
      <c r="C62" t="inlineStr">
        <is>
          <t>Panola-Harrison Elec Coop, Inc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TX</t>
        </is>
      </c>
      <c r="H62" t="inlineStr">
        <is>
          <t>Cooperative</t>
        </is>
      </c>
      <c r="I62" t="inlineStr">
        <is>
          <t>SWPP</t>
        </is>
      </c>
      <c r="J62" t="n">
        <v>12111.7</v>
      </c>
      <c r="K62" t="n">
        <v>128717</v>
      </c>
      <c r="L62" t="n">
        <v>9394</v>
      </c>
      <c r="M62" t="n">
        <v>7007.6</v>
      </c>
      <c r="N62" t="n">
        <v>77863</v>
      </c>
      <c r="O62" t="n">
        <v>1917</v>
      </c>
      <c r="P62" t="n">
        <v>2265.5</v>
      </c>
      <c r="Q62" t="n">
        <v>29305</v>
      </c>
      <c r="R62" t="n">
        <v>8</v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21384.8</v>
      </c>
      <c r="W62" t="n">
        <v>235885</v>
      </c>
      <c r="X62" t="n">
        <v>11319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14626</v>
      </c>
      <c r="C63" t="inlineStr">
        <is>
          <t>Pedernales Electric Coop, Inc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TX</t>
        </is>
      </c>
      <c r="H63" t="inlineStr">
        <is>
          <t>Cooperative</t>
        </is>
      </c>
      <c r="I63" t="inlineStr">
        <is>
          <t>ERCO</t>
        </is>
      </c>
      <c r="J63" t="n">
        <v>708402.1</v>
      </c>
      <c r="K63" t="n">
        <v>5797914</v>
      </c>
      <c r="L63" t="n">
        <v>405587</v>
      </c>
      <c r="M63" t="n">
        <v>224622.7</v>
      </c>
      <c r="N63" t="n">
        <v>1760388</v>
      </c>
      <c r="O63" t="n">
        <v>51822</v>
      </c>
      <c r="P63" t="n">
        <v>23642.5</v>
      </c>
      <c r="Q63" t="n">
        <v>370182</v>
      </c>
      <c r="R63" t="n">
        <v>189</v>
      </c>
      <c r="S63" t="inlineStr">
        <is>
          <t>.</t>
        </is>
      </c>
      <c r="T63" t="inlineStr">
        <is>
          <t>.</t>
        </is>
      </c>
      <c r="U63" t="inlineStr">
        <is>
          <t>.</t>
        </is>
      </c>
      <c r="V63" t="n">
        <v>956667.3</v>
      </c>
      <c r="W63" t="n">
        <v>7928484</v>
      </c>
      <c r="X63" t="n">
        <v>457598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15847</v>
      </c>
      <c r="C64" t="inlineStr">
        <is>
          <t>Reliant Energy Retail Services</t>
        </is>
      </c>
      <c r="D64" t="inlineStr">
        <is>
          <t>D</t>
        </is>
      </c>
      <c r="E64" t="inlineStr">
        <is>
          <t>Bundled</t>
        </is>
      </c>
      <c r="F64" t="inlineStr">
        <is>
          <t>O</t>
        </is>
      </c>
      <c r="G64" t="inlineStr">
        <is>
          <t>TX</t>
        </is>
      </c>
      <c r="H64" t="inlineStr">
        <is>
          <t>Retail Power Marketer</t>
        </is>
      </c>
      <c r="I64" t="inlineStr">
        <is>
          <t>ERCO</t>
        </is>
      </c>
      <c r="J64" t="n">
        <v>3325842.4</v>
      </c>
      <c r="K64" t="n">
        <v>19136371</v>
      </c>
      <c r="L64" t="n">
        <v>1548250</v>
      </c>
      <c r="M64" t="n">
        <v>662359.7</v>
      </c>
      <c r="N64" t="n">
        <v>4997940</v>
      </c>
      <c r="O64" t="n">
        <v>107929</v>
      </c>
      <c r="P64" t="n">
        <v>1440332.2</v>
      </c>
      <c r="Q64" t="n">
        <v>21428482</v>
      </c>
      <c r="R64" t="n">
        <v>1724</v>
      </c>
      <c r="S64" t="n">
        <v>0</v>
      </c>
      <c r="T64" t="n">
        <v>0</v>
      </c>
      <c r="U64" t="n">
        <v>0</v>
      </c>
      <c r="V64" t="n">
        <v>5428534.3</v>
      </c>
      <c r="W64" t="n">
        <v>45562793</v>
      </c>
      <c r="X64" t="n">
        <v>1657903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16057</v>
      </c>
      <c r="C65" t="inlineStr">
        <is>
          <t>Rio Grande Electric Coop, Inc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TX</t>
        </is>
      </c>
      <c r="H65" t="inlineStr">
        <is>
          <t>Cooperative</t>
        </is>
      </c>
      <c r="I65" t="inlineStr">
        <is>
          <t>ERCO</t>
        </is>
      </c>
      <c r="J65" t="n">
        <v>19215.6</v>
      </c>
      <c r="K65" t="n">
        <v>103812</v>
      </c>
      <c r="L65" t="n">
        <v>9298</v>
      </c>
      <c r="M65" t="n">
        <v>18733</v>
      </c>
      <c r="N65" t="n">
        <v>131929</v>
      </c>
      <c r="O65" t="n">
        <v>4379</v>
      </c>
      <c r="P65" t="n">
        <v>34971.7</v>
      </c>
      <c r="Q65" t="n">
        <v>342551</v>
      </c>
      <c r="R65" t="n">
        <v>573</v>
      </c>
      <c r="S65" t="n">
        <v>0</v>
      </c>
      <c r="T65" t="n">
        <v>0</v>
      </c>
      <c r="U65" t="n">
        <v>0</v>
      </c>
      <c r="V65" t="n">
        <v>72920.3</v>
      </c>
      <c r="W65" t="n">
        <v>578292</v>
      </c>
      <c r="X65" t="n">
        <v>14250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16063</v>
      </c>
      <c r="C66" t="inlineStr">
        <is>
          <t>Rita Blanca Electric Coop, Inc</t>
        </is>
      </c>
      <c r="D66" t="inlineStr">
        <is>
          <t>A</t>
        </is>
      </c>
      <c r="E66" t="inlineStr">
        <is>
          <t>Bundled</t>
        </is>
      </c>
      <c r="F66" t="inlineStr">
        <is>
          <t>O</t>
        </is>
      </c>
      <c r="G66" t="inlineStr">
        <is>
          <t>TX</t>
        </is>
      </c>
      <c r="H66" t="inlineStr">
        <is>
          <t>Cooperative</t>
        </is>
      </c>
      <c r="I66" t="inlineStr">
        <is>
          <t>SWPP</t>
        </is>
      </c>
      <c r="J66" t="n">
        <v>3142</v>
      </c>
      <c r="K66" t="n">
        <v>37934</v>
      </c>
      <c r="L66" t="n">
        <v>1255</v>
      </c>
      <c r="M66" t="n">
        <v>56055</v>
      </c>
      <c r="N66" t="n">
        <v>975488</v>
      </c>
      <c r="O66" t="n">
        <v>532</v>
      </c>
      <c r="P66" t="inlineStr">
        <is>
          <t>.</t>
        </is>
      </c>
      <c r="Q66" t="inlineStr">
        <is>
          <t>.</t>
        </is>
      </c>
      <c r="R66" t="inlineStr">
        <is>
          <t>.</t>
        </is>
      </c>
      <c r="S66" t="inlineStr">
        <is>
          <t>.</t>
        </is>
      </c>
      <c r="T66" t="inlineStr">
        <is>
          <t>.</t>
        </is>
      </c>
      <c r="U66" t="inlineStr">
        <is>
          <t>.</t>
        </is>
      </c>
      <c r="V66" t="n">
        <v>59197</v>
      </c>
      <c r="W66" t="n">
        <v>1013422</v>
      </c>
      <c r="X66" t="n">
        <v>1787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16146</v>
      </c>
      <c r="C67" t="inlineStr">
        <is>
          <t>Navasota Valley Elec Coop, Inc</t>
        </is>
      </c>
      <c r="D67" t="inlineStr">
        <is>
          <t>A</t>
        </is>
      </c>
      <c r="E67" t="inlineStr">
        <is>
          <t>Bundled</t>
        </is>
      </c>
      <c r="F67" t="inlineStr">
        <is>
          <t>O</t>
        </is>
      </c>
      <c r="G67" t="inlineStr">
        <is>
          <t>TX</t>
        </is>
      </c>
      <c r="H67" t="inlineStr">
        <is>
          <t>Cooperative</t>
        </is>
      </c>
      <c r="I67" t="inlineStr">
        <is>
          <t>ERCO</t>
        </is>
      </c>
      <c r="J67" t="n">
        <v>34992.1</v>
      </c>
      <c r="K67" t="n">
        <v>222107</v>
      </c>
      <c r="L67" t="n">
        <v>19672</v>
      </c>
      <c r="M67" t="n">
        <v>13114.1</v>
      </c>
      <c r="N67" t="n">
        <v>87007</v>
      </c>
      <c r="O67" t="n">
        <v>1924</v>
      </c>
      <c r="P67" t="n">
        <v>9248</v>
      </c>
      <c r="Q67" t="n">
        <v>100392</v>
      </c>
      <c r="R67" t="n">
        <v>19</v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n">
        <v>57354.2</v>
      </c>
      <c r="W67" t="n">
        <v>409506</v>
      </c>
      <c r="X67" t="n">
        <v>21615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16461</v>
      </c>
      <c r="C68" t="inlineStr">
        <is>
          <t>Rusk County Electric Coop, Inc</t>
        </is>
      </c>
      <c r="D68" t="inlineStr">
        <is>
          <t>A</t>
        </is>
      </c>
      <c r="E68" t="inlineStr">
        <is>
          <t>Bundled</t>
        </is>
      </c>
      <c r="F68" t="inlineStr">
        <is>
          <t>O</t>
        </is>
      </c>
      <c r="G68" t="inlineStr">
        <is>
          <t>TX</t>
        </is>
      </c>
      <c r="H68" t="inlineStr">
        <is>
          <t>Cooperative</t>
        </is>
      </c>
      <c r="I68" t="inlineStr">
        <is>
          <t>SWPP</t>
        </is>
      </c>
      <c r="J68" t="n">
        <v>36242.7</v>
      </c>
      <c r="K68" t="n">
        <v>281054</v>
      </c>
      <c r="L68" t="n">
        <v>18152</v>
      </c>
      <c r="M68" t="n">
        <v>13806.5</v>
      </c>
      <c r="N68" t="n">
        <v>97638</v>
      </c>
      <c r="O68" t="n">
        <v>5444</v>
      </c>
      <c r="P68" t="n">
        <v>8985.299999999999</v>
      </c>
      <c r="Q68" t="n">
        <v>122467</v>
      </c>
      <c r="R68" t="n">
        <v>24</v>
      </c>
      <c r="S68" t="inlineStr">
        <is>
          <t>.</t>
        </is>
      </c>
      <c r="T68" t="inlineStr">
        <is>
          <t>.</t>
        </is>
      </c>
      <c r="U68" t="inlineStr">
        <is>
          <t>.</t>
        </is>
      </c>
      <c r="V68" t="n">
        <v>59034.5</v>
      </c>
      <c r="W68" t="n">
        <v>501159</v>
      </c>
      <c r="X68" t="n">
        <v>23620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16604</v>
      </c>
      <c r="C69" t="inlineStr">
        <is>
          <t>City of San Antonio - (TX)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TX</t>
        </is>
      </c>
      <c r="H69" t="inlineStr">
        <is>
          <t>Municipal</t>
        </is>
      </c>
      <c r="I69" t="inlineStr">
        <is>
          <t>ERCO</t>
        </is>
      </c>
      <c r="J69" t="n">
        <v>1382966.5</v>
      </c>
      <c r="K69" t="n">
        <v>11123381</v>
      </c>
      <c r="L69" t="n">
        <v>865914</v>
      </c>
      <c r="M69" t="n">
        <v>1366184.6</v>
      </c>
      <c r="N69" t="n">
        <v>13566138</v>
      </c>
      <c r="O69" t="n">
        <v>96322</v>
      </c>
      <c r="P69" t="n">
        <v>50030.9</v>
      </c>
      <c r="Q69" t="n">
        <v>565237</v>
      </c>
      <c r="R69" t="n">
        <v>36</v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n">
        <v>2799182</v>
      </c>
      <c r="W69" t="n">
        <v>25254756</v>
      </c>
      <c r="X69" t="n">
        <v>962272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16613</v>
      </c>
      <c r="C70" t="inlineStr">
        <is>
          <t>Sam Houston Electric Coop Inc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TX</t>
        </is>
      </c>
      <c r="H70" t="inlineStr">
        <is>
          <t>Cooperative</t>
        </is>
      </c>
      <c r="I70" t="inlineStr">
        <is>
          <t>MISO</t>
        </is>
      </c>
      <c r="J70" t="n">
        <v>148891</v>
      </c>
      <c r="K70" t="n">
        <v>1179641</v>
      </c>
      <c r="L70" t="n">
        <v>86118</v>
      </c>
      <c r="M70" t="n">
        <v>20792</v>
      </c>
      <c r="N70" t="n">
        <v>164368</v>
      </c>
      <c r="O70" t="n">
        <v>7164</v>
      </c>
      <c r="P70" t="n">
        <v>45377</v>
      </c>
      <c r="Q70" t="n">
        <v>506185</v>
      </c>
      <c r="R70" t="n">
        <v>204</v>
      </c>
      <c r="S70" t="inlineStr">
        <is>
          <t>.</t>
        </is>
      </c>
      <c r="T70" t="inlineStr">
        <is>
          <t>.</t>
        </is>
      </c>
      <c r="U70" t="inlineStr">
        <is>
          <t>.</t>
        </is>
      </c>
      <c r="V70" t="n">
        <v>215060</v>
      </c>
      <c r="W70" t="n">
        <v>1850194</v>
      </c>
      <c r="X70" t="n">
        <v>93486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16627</v>
      </c>
      <c r="C71" t="inlineStr">
        <is>
          <t>San Patricio Electric Coop Inc</t>
        </is>
      </c>
      <c r="D71" t="inlineStr">
        <is>
          <t>A</t>
        </is>
      </c>
      <c r="E71" t="inlineStr">
        <is>
          <t>Bundled</t>
        </is>
      </c>
      <c r="F71" t="inlineStr">
        <is>
          <t>O</t>
        </is>
      </c>
      <c r="G71" t="inlineStr">
        <is>
          <t>TX</t>
        </is>
      </c>
      <c r="H71" t="inlineStr">
        <is>
          <t>Cooperative</t>
        </is>
      </c>
      <c r="I71" t="inlineStr">
        <is>
          <t>ERCO</t>
        </is>
      </c>
      <c r="J71" t="n">
        <v>18710.5</v>
      </c>
      <c r="K71" t="n">
        <v>133740</v>
      </c>
      <c r="L71" t="n">
        <v>10007</v>
      </c>
      <c r="M71" t="n">
        <v>5989.2</v>
      </c>
      <c r="N71" t="n">
        <v>43298</v>
      </c>
      <c r="O71" t="n">
        <v>2467</v>
      </c>
      <c r="P71" t="n">
        <v>6581</v>
      </c>
      <c r="Q71" t="n">
        <v>74369</v>
      </c>
      <c r="R71" t="n">
        <v>48</v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n">
        <v>31280.7</v>
      </c>
      <c r="W71" t="n">
        <v>251407</v>
      </c>
      <c r="X71" t="n">
        <v>12522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16638</v>
      </c>
      <c r="C72" t="inlineStr">
        <is>
          <t>San Bernard Electric Coop, Inc</t>
        </is>
      </c>
      <c r="D72" t="inlineStr">
        <is>
          <t>A</t>
        </is>
      </c>
      <c r="E72" t="inlineStr">
        <is>
          <t>Bundled</t>
        </is>
      </c>
      <c r="F72" t="inlineStr">
        <is>
          <t>O</t>
        </is>
      </c>
      <c r="G72" t="inlineStr">
        <is>
          <t>TX</t>
        </is>
      </c>
      <c r="H72" t="inlineStr">
        <is>
          <t>Cooperative</t>
        </is>
      </c>
      <c r="I72" t="inlineStr">
        <is>
          <t>ERCO</t>
        </is>
      </c>
      <c r="J72" t="n">
        <v>66066.2</v>
      </c>
      <c r="K72" t="n">
        <v>466463</v>
      </c>
      <c r="L72" t="n">
        <v>31774</v>
      </c>
      <c r="M72" t="n">
        <v>12533.5</v>
      </c>
      <c r="N72" t="n">
        <v>111002</v>
      </c>
      <c r="O72" t="n">
        <v>1083</v>
      </c>
      <c r="P72" t="n">
        <v>19728.7</v>
      </c>
      <c r="Q72" t="n">
        <v>221040</v>
      </c>
      <c r="R72" t="n">
        <v>6</v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n">
        <v>98328.39999999999</v>
      </c>
      <c r="W72" t="n">
        <v>798505</v>
      </c>
      <c r="X72" t="n">
        <v>32863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16840</v>
      </c>
      <c r="C73" t="inlineStr">
        <is>
          <t>Calpine Energy Solutions, LLC</t>
        </is>
      </c>
      <c r="D73" t="inlineStr">
        <is>
          <t>D</t>
        </is>
      </c>
      <c r="E73" t="inlineStr">
        <is>
          <t>Bundled</t>
        </is>
      </c>
      <c r="F73" t="inlineStr">
        <is>
          <t>O</t>
        </is>
      </c>
      <c r="G73" t="inlineStr">
        <is>
          <t>TX</t>
        </is>
      </c>
      <c r="H73" t="inlineStr">
        <is>
          <t>Retail Power Marketer</t>
        </is>
      </c>
      <c r="I73" t="inlineStr">
        <is>
          <t>ERCO</t>
        </is>
      </c>
      <c r="J73" t="n">
        <v>0</v>
      </c>
      <c r="K73" t="n">
        <v>0</v>
      </c>
      <c r="L73" t="n">
        <v>0</v>
      </c>
      <c r="M73" t="n">
        <v>483070.5</v>
      </c>
      <c r="N73" t="n">
        <v>8110991</v>
      </c>
      <c r="O73" t="n">
        <v>105</v>
      </c>
      <c r="P73" t="n">
        <v>23598.5</v>
      </c>
      <c r="Q73" t="n">
        <v>361561</v>
      </c>
      <c r="R73" t="n">
        <v>15</v>
      </c>
      <c r="S73" t="n">
        <v>0</v>
      </c>
      <c r="T73" t="n">
        <v>0</v>
      </c>
      <c r="U73" t="n">
        <v>0</v>
      </c>
      <c r="V73" t="n">
        <v>506669</v>
      </c>
      <c r="W73" t="n">
        <v>8472552</v>
      </c>
      <c r="X73" t="n">
        <v>120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16900</v>
      </c>
      <c r="C74" t="inlineStr">
        <is>
          <t>City of Seguin - (TX)</t>
        </is>
      </c>
      <c r="D74" t="inlineStr">
        <is>
          <t>A</t>
        </is>
      </c>
      <c r="E74" t="inlineStr">
        <is>
          <t>Bundled</t>
        </is>
      </c>
      <c r="F74" t="inlineStr">
        <is>
          <t>O</t>
        </is>
      </c>
      <c r="G74" t="inlineStr">
        <is>
          <t>TX</t>
        </is>
      </c>
      <c r="H74" t="inlineStr">
        <is>
          <t>Municipal</t>
        </is>
      </c>
      <c r="I74" t="inlineStr">
        <is>
          <t>ERCO</t>
        </is>
      </c>
      <c r="J74" t="n">
        <v>11145</v>
      </c>
      <c r="K74" t="n">
        <v>102375</v>
      </c>
      <c r="L74" t="n">
        <v>8478</v>
      </c>
      <c r="M74" t="n">
        <v>11618</v>
      </c>
      <c r="N74" t="n">
        <v>111444</v>
      </c>
      <c r="O74" t="n">
        <v>1477</v>
      </c>
      <c r="P74" t="n">
        <v>10918</v>
      </c>
      <c r="Q74" t="n">
        <v>139646</v>
      </c>
      <c r="R74" t="n">
        <v>15</v>
      </c>
      <c r="S74" t="inlineStr">
        <is>
          <t>.</t>
        </is>
      </c>
      <c r="T74" t="inlineStr">
        <is>
          <t>.</t>
        </is>
      </c>
      <c r="U74" t="inlineStr">
        <is>
          <t>.</t>
        </is>
      </c>
      <c r="V74" t="n">
        <v>33681</v>
      </c>
      <c r="W74" t="n">
        <v>353465</v>
      </c>
      <c r="X74" t="n">
        <v>9970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17561</v>
      </c>
      <c r="C75" t="inlineStr">
        <is>
          <t>South Plains Electric Coop Inc</t>
        </is>
      </c>
      <c r="D75" t="inlineStr">
        <is>
          <t>A</t>
        </is>
      </c>
      <c r="E75" t="inlineStr">
        <is>
          <t>Bundled</t>
        </is>
      </c>
      <c r="F75" t="inlineStr">
        <is>
          <t>O</t>
        </is>
      </c>
      <c r="G75" t="inlineStr">
        <is>
          <t>TX</t>
        </is>
      </c>
      <c r="H75" t="inlineStr">
        <is>
          <t>Cooperative</t>
        </is>
      </c>
      <c r="I75" t="inlineStr">
        <is>
          <t>ERCO</t>
        </is>
      </c>
      <c r="J75" t="n">
        <v>4416</v>
      </c>
      <c r="K75" t="n">
        <v>34749</v>
      </c>
      <c r="L75" t="n">
        <v>5472</v>
      </c>
      <c r="M75" t="n">
        <v>8834.799999999999</v>
      </c>
      <c r="N75" t="n">
        <v>86102</v>
      </c>
      <c r="O75" t="n">
        <v>2224</v>
      </c>
      <c r="P75" t="n">
        <v>26566</v>
      </c>
      <c r="Q75" t="n">
        <v>461154</v>
      </c>
      <c r="R75" t="n">
        <v>465</v>
      </c>
      <c r="S75" t="inlineStr">
        <is>
          <t>.</t>
        </is>
      </c>
      <c r="T75" t="inlineStr">
        <is>
          <t>.</t>
        </is>
      </c>
      <c r="U75" t="inlineStr">
        <is>
          <t>.</t>
        </is>
      </c>
      <c r="V75" t="n">
        <v>39816.8</v>
      </c>
      <c r="W75" t="n">
        <v>582005</v>
      </c>
      <c r="X75" t="n">
        <v>8161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17561</v>
      </c>
      <c r="C76" t="inlineStr">
        <is>
          <t>South Plains Electric Coop Inc</t>
        </is>
      </c>
      <c r="D76" t="inlineStr">
        <is>
          <t>A</t>
        </is>
      </c>
      <c r="E76" t="inlineStr">
        <is>
          <t>Bundled</t>
        </is>
      </c>
      <c r="F76" t="inlineStr">
        <is>
          <t>O</t>
        </is>
      </c>
      <c r="G76" t="inlineStr">
        <is>
          <t>TX</t>
        </is>
      </c>
      <c r="H76" t="inlineStr">
        <is>
          <t>Cooperative</t>
        </is>
      </c>
      <c r="I76" t="inlineStr">
        <is>
          <t>SWPP</t>
        </is>
      </c>
      <c r="J76" t="n">
        <v>70234.39999999999</v>
      </c>
      <c r="K76" t="n">
        <v>686621</v>
      </c>
      <c r="L76" t="n">
        <v>50701</v>
      </c>
      <c r="M76" t="n">
        <v>32415</v>
      </c>
      <c r="N76" t="n">
        <v>309684</v>
      </c>
      <c r="O76" t="n">
        <v>9082</v>
      </c>
      <c r="P76" t="n">
        <v>22774.8</v>
      </c>
      <c r="Q76" t="n">
        <v>173208</v>
      </c>
      <c r="R76" t="n">
        <v>7457</v>
      </c>
      <c r="S76" t="inlineStr">
        <is>
          <t>.</t>
        </is>
      </c>
      <c r="T76" t="inlineStr">
        <is>
          <t>.</t>
        </is>
      </c>
      <c r="U76" t="inlineStr">
        <is>
          <t>.</t>
        </is>
      </c>
      <c r="V76" t="n">
        <v>125424.2</v>
      </c>
      <c r="W76" t="n">
        <v>1169513</v>
      </c>
      <c r="X76" t="n">
        <v>67240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17671</v>
      </c>
      <c r="C77" t="inlineStr">
        <is>
          <t>Southwest Arkansas E C C</t>
        </is>
      </c>
      <c r="D77" t="inlineStr">
        <is>
          <t>A</t>
        </is>
      </c>
      <c r="E77" t="inlineStr">
        <is>
          <t>Bundled</t>
        </is>
      </c>
      <c r="F77" t="inlineStr">
        <is>
          <t>O</t>
        </is>
      </c>
      <c r="G77" t="inlineStr">
        <is>
          <t>TX</t>
        </is>
      </c>
      <c r="H77" t="inlineStr">
        <is>
          <t>Cooperative</t>
        </is>
      </c>
      <c r="I77" t="inlineStr">
        <is>
          <t>MISO</t>
        </is>
      </c>
      <c r="J77" t="n">
        <v>2528.6</v>
      </c>
      <c r="K77" t="n">
        <v>20422</v>
      </c>
      <c r="L77" t="n">
        <v>1087</v>
      </c>
      <c r="M77" t="n">
        <v>183.7</v>
      </c>
      <c r="N77" t="n">
        <v>1252</v>
      </c>
      <c r="O77" t="n">
        <v>79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2712.3</v>
      </c>
      <c r="W77" t="n">
        <v>21674</v>
      </c>
      <c r="X77" t="n">
        <v>1166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17693</v>
      </c>
      <c r="C78" t="inlineStr">
        <is>
          <t>Southwest Texas Elec Coop, Inc</t>
        </is>
      </c>
      <c r="D78" t="inlineStr">
        <is>
          <t>A</t>
        </is>
      </c>
      <c r="E78" t="inlineStr">
        <is>
          <t>Bundled</t>
        </is>
      </c>
      <c r="F78" t="inlineStr">
        <is>
          <t>O</t>
        </is>
      </c>
      <c r="G78" t="inlineStr">
        <is>
          <t>TX</t>
        </is>
      </c>
      <c r="H78" t="inlineStr">
        <is>
          <t>Cooperative</t>
        </is>
      </c>
      <c r="I78" t="inlineStr">
        <is>
          <t>ERCO</t>
        </is>
      </c>
      <c r="J78" t="n">
        <v>5329</v>
      </c>
      <c r="K78" t="n">
        <v>39339</v>
      </c>
      <c r="L78" t="n">
        <v>5886</v>
      </c>
      <c r="M78" t="n">
        <v>4341</v>
      </c>
      <c r="N78" t="n">
        <v>32219</v>
      </c>
      <c r="O78" t="n">
        <v>3576</v>
      </c>
      <c r="P78" t="n">
        <v>18415</v>
      </c>
      <c r="Q78" t="n">
        <v>240181</v>
      </c>
      <c r="R78" t="n">
        <v>442</v>
      </c>
      <c r="S78" t="inlineStr">
        <is>
          <t>.</t>
        </is>
      </c>
      <c r="T78" t="inlineStr">
        <is>
          <t>.</t>
        </is>
      </c>
      <c r="U78" t="inlineStr">
        <is>
          <t>.</t>
        </is>
      </c>
      <c r="V78" t="n">
        <v>28085</v>
      </c>
      <c r="W78" t="n">
        <v>311739</v>
      </c>
      <c r="X78" t="n">
        <v>9904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17698</v>
      </c>
      <c r="C79" t="inlineStr">
        <is>
          <t>Southwestern Electric Power Co</t>
        </is>
      </c>
      <c r="D79" t="inlineStr">
        <is>
          <t>A</t>
        </is>
      </c>
      <c r="E79" t="inlineStr">
        <is>
          <t>Bundled</t>
        </is>
      </c>
      <c r="F79" t="inlineStr">
        <is>
          <t>O</t>
        </is>
      </c>
      <c r="G79" t="inlineStr">
        <is>
          <t>TX</t>
        </is>
      </c>
      <c r="H79" t="inlineStr">
        <is>
          <t>Investor Owned</t>
        </is>
      </c>
      <c r="I79" t="inlineStr">
        <is>
          <t>SWPP</t>
        </is>
      </c>
      <c r="J79" t="n">
        <v>238602</v>
      </c>
      <c r="K79" t="n">
        <v>1984161</v>
      </c>
      <c r="L79" t="n">
        <v>156271</v>
      </c>
      <c r="M79" t="n">
        <v>205280.4</v>
      </c>
      <c r="N79" t="n">
        <v>2072701</v>
      </c>
      <c r="O79" t="n">
        <v>31450</v>
      </c>
      <c r="P79" t="n">
        <v>177721.9</v>
      </c>
      <c r="Q79" t="n">
        <v>2864010</v>
      </c>
      <c r="R79" t="n">
        <v>4042</v>
      </c>
      <c r="S79" t="inlineStr">
        <is>
          <t>.</t>
        </is>
      </c>
      <c r="T79" t="inlineStr">
        <is>
          <t>.</t>
        </is>
      </c>
      <c r="U79" t="inlineStr">
        <is>
          <t>.</t>
        </is>
      </c>
      <c r="V79" t="n">
        <v>621604.3</v>
      </c>
      <c r="W79" t="n">
        <v>6920872</v>
      </c>
      <c r="X79" t="n">
        <v>191763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17710</v>
      </c>
      <c r="C80" t="inlineStr">
        <is>
          <t>Spark Energy, LP</t>
        </is>
      </c>
      <c r="D80" t="inlineStr">
        <is>
          <t>D</t>
        </is>
      </c>
      <c r="E80" t="inlineStr">
        <is>
          <t>Bundled</t>
        </is>
      </c>
      <c r="F80" t="inlineStr">
        <is>
          <t>O</t>
        </is>
      </c>
      <c r="G80" t="inlineStr">
        <is>
          <t>TX</t>
        </is>
      </c>
      <c r="H80" t="inlineStr">
        <is>
          <t>Retail Power Marketer</t>
        </is>
      </c>
      <c r="I80" t="inlineStr">
        <is>
          <t>ERCO</t>
        </is>
      </c>
      <c r="J80" t="n">
        <v>55263</v>
      </c>
      <c r="K80" t="n">
        <v>338039</v>
      </c>
      <c r="L80" t="n">
        <v>22689</v>
      </c>
      <c r="M80" t="n">
        <v>3458</v>
      </c>
      <c r="N80" t="n">
        <v>20371</v>
      </c>
      <c r="O80" t="n">
        <v>720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58721</v>
      </c>
      <c r="W80" t="n">
        <v>358410</v>
      </c>
      <c r="X80" t="n">
        <v>23409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17715</v>
      </c>
      <c r="C81" t="inlineStr">
        <is>
          <t>Southwestern Electric Coop Inc - (NM)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TX</t>
        </is>
      </c>
      <c r="H81" t="inlineStr">
        <is>
          <t>Cooperative</t>
        </is>
      </c>
      <c r="I81" t="inlineStr">
        <is>
          <t>PNM</t>
        </is>
      </c>
      <c r="J81" t="n">
        <v>18.9</v>
      </c>
      <c r="K81" t="n">
        <v>81</v>
      </c>
      <c r="L81" t="n">
        <v>10</v>
      </c>
      <c r="M81" t="inlineStr">
        <is>
          <t>.</t>
        </is>
      </c>
      <c r="N81" t="inlineStr">
        <is>
          <t>.</t>
        </is>
      </c>
      <c r="O81" t="inlineStr">
        <is>
          <t>.</t>
        </is>
      </c>
      <c r="P81" t="n">
        <v>36.1</v>
      </c>
      <c r="Q81" t="n">
        <v>240</v>
      </c>
      <c r="R81" t="n">
        <v>8</v>
      </c>
      <c r="S81" t="inlineStr">
        <is>
          <t>.</t>
        </is>
      </c>
      <c r="T81" t="inlineStr">
        <is>
          <t>.</t>
        </is>
      </c>
      <c r="U81" t="inlineStr">
        <is>
          <t>.</t>
        </is>
      </c>
      <c r="V81" t="n">
        <v>55</v>
      </c>
      <c r="W81" t="n">
        <v>321</v>
      </c>
      <c r="X81" t="n">
        <v>18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17718</v>
      </c>
      <c r="C82" t="inlineStr">
        <is>
          <t>Southwestern Public Service Co</t>
        </is>
      </c>
      <c r="D82" t="inlineStr">
        <is>
          <t>A</t>
        </is>
      </c>
      <c r="E82" t="inlineStr">
        <is>
          <t>Bundled</t>
        </is>
      </c>
      <c r="F82" t="inlineStr">
        <is>
          <t>O</t>
        </is>
      </c>
      <c r="G82" t="inlineStr">
        <is>
          <t>TX</t>
        </is>
      </c>
      <c r="H82" t="inlineStr">
        <is>
          <t>Investor Owned</t>
        </is>
      </c>
      <c r="I82" t="inlineStr">
        <is>
          <t>SWPP</t>
        </is>
      </c>
      <c r="J82" t="n">
        <v>340763.3</v>
      </c>
      <c r="K82" t="n">
        <v>2552082</v>
      </c>
      <c r="L82" t="n">
        <v>222146</v>
      </c>
      <c r="M82" t="n">
        <v>311550.8</v>
      </c>
      <c r="N82" t="n">
        <v>3381322</v>
      </c>
      <c r="O82" t="n">
        <v>58809</v>
      </c>
      <c r="P82" t="n">
        <v>375808.4</v>
      </c>
      <c r="Q82" t="n">
        <v>7714759</v>
      </c>
      <c r="R82" t="n">
        <v>142</v>
      </c>
      <c r="S82" t="n">
        <v>0</v>
      </c>
      <c r="T82" t="n">
        <v>0</v>
      </c>
      <c r="U82" t="n">
        <v>0</v>
      </c>
      <c r="V82" t="n">
        <v>1028122.5</v>
      </c>
      <c r="W82" t="n">
        <v>13648163</v>
      </c>
      <c r="X82" t="n">
        <v>281097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18193</v>
      </c>
      <c r="C83" t="inlineStr">
        <is>
          <t>Direct Energy Business</t>
        </is>
      </c>
      <c r="D83" t="inlineStr">
        <is>
          <t>D</t>
        </is>
      </c>
      <c r="E83" t="inlineStr">
        <is>
          <t>Bundled</t>
        </is>
      </c>
      <c r="F83" t="inlineStr">
        <is>
          <t>O</t>
        </is>
      </c>
      <c r="G83" t="inlineStr">
        <is>
          <t>TX</t>
        </is>
      </c>
      <c r="H83" t="inlineStr">
        <is>
          <t>Retail Power Marketer</t>
        </is>
      </c>
      <c r="I83" t="inlineStr">
        <is>
          <t>ERCO</t>
        </is>
      </c>
      <c r="J83" t="n">
        <v>0</v>
      </c>
      <c r="K83" t="n">
        <v>0</v>
      </c>
      <c r="L83" t="n">
        <v>0</v>
      </c>
      <c r="M83" t="n">
        <v>580741.6</v>
      </c>
      <c r="N83" t="n">
        <v>5827724</v>
      </c>
      <c r="O83" t="n">
        <v>33159</v>
      </c>
      <c r="P83" t="n">
        <v>663965.5</v>
      </c>
      <c r="Q83" t="n">
        <v>7459231</v>
      </c>
      <c r="R83" t="n">
        <v>1052</v>
      </c>
      <c r="S83" t="n">
        <v>0</v>
      </c>
      <c r="T83" t="n">
        <v>0</v>
      </c>
      <c r="U83" t="n">
        <v>0</v>
      </c>
      <c r="V83" t="n">
        <v>1244707.1</v>
      </c>
      <c r="W83" t="n">
        <v>13286955</v>
      </c>
      <c r="X83" t="n">
        <v>34211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18476</v>
      </c>
      <c r="C84" t="inlineStr">
        <is>
          <t>Tara Energy, LLC</t>
        </is>
      </c>
      <c r="D84" t="inlineStr">
        <is>
          <t>D</t>
        </is>
      </c>
      <c r="E84" t="inlineStr">
        <is>
          <t>Bundled</t>
        </is>
      </c>
      <c r="F84" t="inlineStr">
        <is>
          <t>O</t>
        </is>
      </c>
      <c r="G84" t="inlineStr">
        <is>
          <t>TX</t>
        </is>
      </c>
      <c r="H84" t="inlineStr">
        <is>
          <t>Retail Power Marketer</t>
        </is>
      </c>
      <c r="I84" t="inlineStr">
        <is>
          <t>ERCO</t>
        </is>
      </c>
      <c r="J84" t="n">
        <v>73061.3</v>
      </c>
      <c r="K84" t="n">
        <v>461003</v>
      </c>
      <c r="L84" t="n">
        <v>35103</v>
      </c>
      <c r="M84" t="n">
        <v>83116.7</v>
      </c>
      <c r="N84" t="n">
        <v>858428</v>
      </c>
      <c r="O84" t="n">
        <v>10225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156178</v>
      </c>
      <c r="W84" t="n">
        <v>1319431</v>
      </c>
      <c r="X84" t="n">
        <v>45328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18976</v>
      </c>
      <c r="C85" t="inlineStr">
        <is>
          <t>Trinity Valley Elec Coop Inc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TX</t>
        </is>
      </c>
      <c r="H85" t="inlineStr">
        <is>
          <t>Cooperative</t>
        </is>
      </c>
      <c r="I85" t="inlineStr">
        <is>
          <t>ERCO</t>
        </is>
      </c>
      <c r="J85" t="n">
        <v>136994.4</v>
      </c>
      <c r="K85" t="n">
        <v>1216721</v>
      </c>
      <c r="L85" t="n">
        <v>79954</v>
      </c>
      <c r="M85" t="n">
        <v>23967.4</v>
      </c>
      <c r="N85" t="n">
        <v>218539</v>
      </c>
      <c r="O85" t="n">
        <v>8341</v>
      </c>
      <c r="P85" t="n">
        <v>5869.7</v>
      </c>
      <c r="Q85" t="n">
        <v>100539</v>
      </c>
      <c r="R85" t="n">
        <v>10</v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n">
        <v>166831.5</v>
      </c>
      <c r="W85" t="n">
        <v>1535799</v>
      </c>
      <c r="X85" t="n">
        <v>88305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18995</v>
      </c>
      <c r="C86" t="inlineStr">
        <is>
          <t>Tenaska Power Services</t>
        </is>
      </c>
      <c r="D86" t="inlineStr">
        <is>
          <t>D</t>
        </is>
      </c>
      <c r="E86" t="inlineStr">
        <is>
          <t>Bundled</t>
        </is>
      </c>
      <c r="F86" t="inlineStr">
        <is>
          <t>O</t>
        </is>
      </c>
      <c r="G86" t="inlineStr">
        <is>
          <t>TX</t>
        </is>
      </c>
      <c r="H86" t="inlineStr">
        <is>
          <t>Retail Power Marketer</t>
        </is>
      </c>
      <c r="I86" t="inlineStr">
        <is>
          <t>ERCO</t>
        </is>
      </c>
      <c r="J86" t="n">
        <v>0</v>
      </c>
      <c r="K86" t="n">
        <v>0</v>
      </c>
      <c r="L86" t="n">
        <v>0</v>
      </c>
      <c r="M86" t="n">
        <v>15626.4</v>
      </c>
      <c r="N86" t="n">
        <v>163704</v>
      </c>
      <c r="O86" t="n">
        <v>9</v>
      </c>
      <c r="P86" t="n">
        <v>322353.2</v>
      </c>
      <c r="Q86" t="n">
        <v>8295451</v>
      </c>
      <c r="R86" t="n">
        <v>184</v>
      </c>
      <c r="S86" t="n">
        <v>0</v>
      </c>
      <c r="T86" t="n">
        <v>0</v>
      </c>
      <c r="U86" t="n">
        <v>0</v>
      </c>
      <c r="V86" t="n">
        <v>337979.6</v>
      </c>
      <c r="W86" t="n">
        <v>8459155</v>
      </c>
      <c r="X86" t="n">
        <v>193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19107</v>
      </c>
      <c r="C87" t="inlineStr">
        <is>
          <t>ENGIE Resources LLC</t>
        </is>
      </c>
      <c r="D87" t="inlineStr">
        <is>
          <t>D</t>
        </is>
      </c>
      <c r="E87" t="inlineStr">
        <is>
          <t>Bundled</t>
        </is>
      </c>
      <c r="F87" t="inlineStr">
        <is>
          <t>O</t>
        </is>
      </c>
      <c r="G87" t="inlineStr">
        <is>
          <t>TX</t>
        </is>
      </c>
      <c r="H87" t="inlineStr">
        <is>
          <t>Retail Power Marketer</t>
        </is>
      </c>
      <c r="I87" t="inlineStr">
        <is>
          <t>ERCO</t>
        </is>
      </c>
      <c r="J87" t="n">
        <v>0</v>
      </c>
      <c r="K87" t="n">
        <v>0</v>
      </c>
      <c r="L87" t="n">
        <v>0</v>
      </c>
      <c r="M87" t="n">
        <v>945456.5</v>
      </c>
      <c r="N87" t="n">
        <v>11954704</v>
      </c>
      <c r="O87" t="n">
        <v>14695</v>
      </c>
      <c r="P87" t="n">
        <v>207620.3</v>
      </c>
      <c r="Q87" t="n">
        <v>2626421</v>
      </c>
      <c r="R87" t="n">
        <v>3226</v>
      </c>
      <c r="S87" t="n">
        <v>369.2</v>
      </c>
      <c r="T87" t="n">
        <v>10103</v>
      </c>
      <c r="U87" t="n">
        <v>1</v>
      </c>
      <c r="V87" t="n">
        <v>1153446</v>
      </c>
      <c r="W87" t="n">
        <v>14591228</v>
      </c>
      <c r="X87" t="n">
        <v>17922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19126</v>
      </c>
      <c r="C88" t="inlineStr">
        <is>
          <t>TriEagle Energy, L.P.</t>
        </is>
      </c>
      <c r="D88" t="inlineStr">
        <is>
          <t>D</t>
        </is>
      </c>
      <c r="E88" t="inlineStr">
        <is>
          <t>Bundled</t>
        </is>
      </c>
      <c r="F88" t="inlineStr">
        <is>
          <t>O</t>
        </is>
      </c>
      <c r="G88" t="inlineStr">
        <is>
          <t>TX</t>
        </is>
      </c>
      <c r="H88" t="inlineStr">
        <is>
          <t>Retail Power Marketer</t>
        </is>
      </c>
      <c r="I88" t="inlineStr">
        <is>
          <t>ERCO</t>
        </is>
      </c>
      <c r="J88" t="n">
        <v>235495.6</v>
      </c>
      <c r="K88" t="n">
        <v>1556150</v>
      </c>
      <c r="L88" t="n">
        <v>107801</v>
      </c>
      <c r="M88" t="n">
        <v>4988.3</v>
      </c>
      <c r="N88" t="n">
        <v>41118</v>
      </c>
      <c r="O88" t="n">
        <v>840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240483.9</v>
      </c>
      <c r="W88" t="n">
        <v>1597268</v>
      </c>
      <c r="X88" t="n">
        <v>108641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19159</v>
      </c>
      <c r="C89" t="inlineStr">
        <is>
          <t>Tri-County Electric Coop, Inc (TX)</t>
        </is>
      </c>
      <c r="D89" t="inlineStr">
        <is>
          <t>A</t>
        </is>
      </c>
      <c r="E89" t="inlineStr">
        <is>
          <t>Bundled</t>
        </is>
      </c>
      <c r="F89" t="inlineStr">
        <is>
          <t>O</t>
        </is>
      </c>
      <c r="G89" t="inlineStr">
        <is>
          <t>TX</t>
        </is>
      </c>
      <c r="H89" t="inlineStr">
        <is>
          <t>Cooperative</t>
        </is>
      </c>
      <c r="I89" t="inlineStr">
        <is>
          <t>ERCO</t>
        </is>
      </c>
      <c r="J89" t="n">
        <v>266548.2</v>
      </c>
      <c r="K89" t="n">
        <v>2106793</v>
      </c>
      <c r="L89" t="n">
        <v>118075</v>
      </c>
      <c r="M89" t="n">
        <v>128365.5</v>
      </c>
      <c r="N89" t="n">
        <v>1153776</v>
      </c>
      <c r="O89" t="n">
        <v>19947</v>
      </c>
      <c r="P89" t="n">
        <v>1598.6</v>
      </c>
      <c r="Q89" t="n">
        <v>11389</v>
      </c>
      <c r="R89" t="n">
        <v>1294</v>
      </c>
      <c r="S89" t="n">
        <v>0</v>
      </c>
      <c r="T89" t="n">
        <v>0</v>
      </c>
      <c r="U89" t="n">
        <v>0</v>
      </c>
      <c r="V89" t="n">
        <v>396512.3</v>
      </c>
      <c r="W89" t="n">
        <v>3271958</v>
      </c>
      <c r="X89" t="n">
        <v>139316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19160</v>
      </c>
      <c r="C90" t="inlineStr">
        <is>
          <t>Tri-County Electric Coop, Inc (OK)</t>
        </is>
      </c>
      <c r="D90" t="inlineStr">
        <is>
          <t>A</t>
        </is>
      </c>
      <c r="E90" t="inlineStr">
        <is>
          <t>Bundled</t>
        </is>
      </c>
      <c r="F90" t="inlineStr">
        <is>
          <t>O</t>
        </is>
      </c>
      <c r="G90" t="inlineStr">
        <is>
          <t>TX</t>
        </is>
      </c>
      <c r="H90" t="inlineStr">
        <is>
          <t>Cooperative</t>
        </is>
      </c>
      <c r="I90" t="inlineStr">
        <is>
          <t>SWPP</t>
        </is>
      </c>
      <c r="J90" t="n">
        <v>335</v>
      </c>
      <c r="K90" t="n">
        <v>2159</v>
      </c>
      <c r="L90" t="n">
        <v>210</v>
      </c>
      <c r="M90" t="n">
        <v>4314.9</v>
      </c>
      <c r="N90" t="n">
        <v>73499</v>
      </c>
      <c r="O90" t="n">
        <v>188</v>
      </c>
      <c r="P90" t="n">
        <v>192.5</v>
      </c>
      <c r="Q90" t="n">
        <v>1210</v>
      </c>
      <c r="R90" t="n">
        <v>17</v>
      </c>
      <c r="S90" t="inlineStr">
        <is>
          <t>.</t>
        </is>
      </c>
      <c r="T90" t="inlineStr">
        <is>
          <t>.</t>
        </is>
      </c>
      <c r="U90" t="inlineStr">
        <is>
          <t>.</t>
        </is>
      </c>
      <c r="V90" t="n">
        <v>4842.4</v>
      </c>
      <c r="W90" t="n">
        <v>76868</v>
      </c>
      <c r="X90" t="n">
        <v>415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19327</v>
      </c>
      <c r="C91" t="inlineStr">
        <is>
          <t>TXU Energy Retail Co, LLC</t>
        </is>
      </c>
      <c r="D91" t="inlineStr">
        <is>
          <t>D</t>
        </is>
      </c>
      <c r="E91" t="inlineStr">
        <is>
          <t>Bundled</t>
        </is>
      </c>
      <c r="F91" t="inlineStr">
        <is>
          <t>O</t>
        </is>
      </c>
      <c r="G91" t="inlineStr">
        <is>
          <t>TX</t>
        </is>
      </c>
      <c r="H91" t="inlineStr">
        <is>
          <t>Retail Power Marketer</t>
        </is>
      </c>
      <c r="I91" t="inlineStr">
        <is>
          <t>ERCO</t>
        </is>
      </c>
      <c r="J91" t="n">
        <v>3494663</v>
      </c>
      <c r="K91" t="n">
        <v>18685055</v>
      </c>
      <c r="L91" t="n">
        <v>1446391</v>
      </c>
      <c r="M91" t="n">
        <v>463093</v>
      </c>
      <c r="N91" t="n">
        <v>2721232</v>
      </c>
      <c r="O91" t="n">
        <v>108504</v>
      </c>
      <c r="P91" t="n">
        <v>2949897</v>
      </c>
      <c r="Q91" t="n">
        <v>43156902</v>
      </c>
      <c r="R91" t="n">
        <v>284881</v>
      </c>
      <c r="S91" t="n">
        <v>0</v>
      </c>
      <c r="T91" t="n">
        <v>0</v>
      </c>
      <c r="U91" t="n">
        <v>0</v>
      </c>
      <c r="V91" t="n">
        <v>6907653</v>
      </c>
      <c r="W91" t="n">
        <v>64563189</v>
      </c>
      <c r="X91" t="n">
        <v>1839776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19490</v>
      </c>
      <c r="C92" t="inlineStr">
        <is>
          <t>United Electric Coop Service Inc - (TX)</t>
        </is>
      </c>
      <c r="D92" t="inlineStr">
        <is>
          <t>A</t>
        </is>
      </c>
      <c r="E92" t="inlineStr">
        <is>
          <t>Bundled</t>
        </is>
      </c>
      <c r="F92" t="inlineStr">
        <is>
          <t>O</t>
        </is>
      </c>
      <c r="G92" t="inlineStr">
        <is>
          <t>TX</t>
        </is>
      </c>
      <c r="H92" t="inlineStr">
        <is>
          <t>Cooperative</t>
        </is>
      </c>
      <c r="I92" t="inlineStr">
        <is>
          <t>ERCO</t>
        </is>
      </c>
      <c r="J92" t="n">
        <v>178555</v>
      </c>
      <c r="K92" t="n">
        <v>1373708</v>
      </c>
      <c r="L92" t="n">
        <v>88324</v>
      </c>
      <c r="M92" t="n">
        <v>67199</v>
      </c>
      <c r="N92" t="n">
        <v>541512</v>
      </c>
      <c r="O92" t="n">
        <v>17201</v>
      </c>
      <c r="P92" t="n">
        <v>78779</v>
      </c>
      <c r="Q92" t="n">
        <v>843789</v>
      </c>
      <c r="R92" t="n">
        <v>106</v>
      </c>
      <c r="S92" t="inlineStr">
        <is>
          <t>.</t>
        </is>
      </c>
      <c r="T92" t="inlineStr">
        <is>
          <t>.</t>
        </is>
      </c>
      <c r="U92" t="inlineStr">
        <is>
          <t>.</t>
        </is>
      </c>
      <c r="V92" t="n">
        <v>324533</v>
      </c>
      <c r="W92" t="n">
        <v>2759009</v>
      </c>
      <c r="X92" t="n">
        <v>105631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19579</v>
      </c>
      <c r="C93" t="inlineStr">
        <is>
          <t>Upshur Rural Elec Coop Corp</t>
        </is>
      </c>
      <c r="D93" t="inlineStr">
        <is>
          <t>A</t>
        </is>
      </c>
      <c r="E93" t="inlineStr">
        <is>
          <t>Bundled</t>
        </is>
      </c>
      <c r="F93" t="inlineStr">
        <is>
          <t>O</t>
        </is>
      </c>
      <c r="G93" t="inlineStr">
        <is>
          <t>TX</t>
        </is>
      </c>
      <c r="H93" t="inlineStr">
        <is>
          <t>Cooperative</t>
        </is>
      </c>
      <c r="I93" t="inlineStr">
        <is>
          <t>SWPP</t>
        </is>
      </c>
      <c r="J93" t="n">
        <v>77807</v>
      </c>
      <c r="K93" t="n">
        <v>627655</v>
      </c>
      <c r="L93" t="n">
        <v>44415</v>
      </c>
      <c r="M93" t="n">
        <v>20589</v>
      </c>
      <c r="N93" t="n">
        <v>171085</v>
      </c>
      <c r="O93" t="n">
        <v>6398</v>
      </c>
      <c r="P93" t="n">
        <v>9490</v>
      </c>
      <c r="Q93" t="n">
        <v>125844</v>
      </c>
      <c r="R93" t="n">
        <v>23</v>
      </c>
      <c r="S93" t="inlineStr">
        <is>
          <t>.</t>
        </is>
      </c>
      <c r="T93" t="inlineStr">
        <is>
          <t>.</t>
        </is>
      </c>
      <c r="U93" t="inlineStr">
        <is>
          <t>.</t>
        </is>
      </c>
      <c r="V93" t="n">
        <v>107886</v>
      </c>
      <c r="W93" t="n">
        <v>924584</v>
      </c>
      <c r="X93" t="n">
        <v>50836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19806</v>
      </c>
      <c r="C94" t="inlineStr">
        <is>
          <t>Victoria Electric Coop, Inc</t>
        </is>
      </c>
      <c r="D94" t="inlineStr">
        <is>
          <t>A</t>
        </is>
      </c>
      <c r="E94" t="inlineStr">
        <is>
          <t>Bundled</t>
        </is>
      </c>
      <c r="F94" t="inlineStr">
        <is>
          <t>O</t>
        </is>
      </c>
      <c r="G94" t="inlineStr">
        <is>
          <t>TX</t>
        </is>
      </c>
      <c r="H94" t="inlineStr">
        <is>
          <t>Cooperative</t>
        </is>
      </c>
      <c r="I94" t="inlineStr">
        <is>
          <t>ERCO</t>
        </is>
      </c>
      <c r="J94" t="n">
        <v>38976.5</v>
      </c>
      <c r="K94" t="n">
        <v>321257</v>
      </c>
      <c r="L94" t="n">
        <v>21500</v>
      </c>
      <c r="M94" t="n">
        <v>6213</v>
      </c>
      <c r="N94" t="n">
        <v>51033</v>
      </c>
      <c r="O94" t="n">
        <v>3056</v>
      </c>
      <c r="P94" t="n">
        <v>19627.3</v>
      </c>
      <c r="Q94" t="n">
        <v>252604</v>
      </c>
      <c r="R94" t="n">
        <v>380</v>
      </c>
      <c r="S94" t="n">
        <v>0</v>
      </c>
      <c r="T94" t="n">
        <v>0</v>
      </c>
      <c r="U94" t="n">
        <v>0</v>
      </c>
      <c r="V94" t="n">
        <v>64816.8</v>
      </c>
      <c r="W94" t="n">
        <v>624894</v>
      </c>
      <c r="X94" t="n">
        <v>24936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20230</v>
      </c>
      <c r="C95" t="inlineStr">
        <is>
          <t>Weatherford Mun Utility System</t>
        </is>
      </c>
      <c r="D95" t="inlineStr">
        <is>
          <t>A</t>
        </is>
      </c>
      <c r="E95" t="inlineStr">
        <is>
          <t>Bundled</t>
        </is>
      </c>
      <c r="F95" t="inlineStr">
        <is>
          <t>O</t>
        </is>
      </c>
      <c r="G95" t="inlineStr">
        <is>
          <t>TX</t>
        </is>
      </c>
      <c r="H95" t="inlineStr">
        <is>
          <t>Municipal</t>
        </is>
      </c>
      <c r="I95" t="inlineStr">
        <is>
          <t>ERCO</t>
        </is>
      </c>
      <c r="J95" t="n">
        <v>25849</v>
      </c>
      <c r="K95" t="n">
        <v>203739</v>
      </c>
      <c r="L95" t="n">
        <v>14466</v>
      </c>
      <c r="M95" t="n">
        <v>21502</v>
      </c>
      <c r="N95" t="n">
        <v>192779</v>
      </c>
      <c r="O95" t="n">
        <v>2497</v>
      </c>
      <c r="P95" t="n">
        <v>3227</v>
      </c>
      <c r="Q95" t="n">
        <v>29370</v>
      </c>
      <c r="R95" t="n">
        <v>4</v>
      </c>
      <c r="S95" t="inlineStr">
        <is>
          <t>.</t>
        </is>
      </c>
      <c r="T95" t="inlineStr">
        <is>
          <t>.</t>
        </is>
      </c>
      <c r="U95" t="inlineStr">
        <is>
          <t>.</t>
        </is>
      </c>
      <c r="V95" t="n">
        <v>50578</v>
      </c>
      <c r="W95" t="n">
        <v>425888</v>
      </c>
      <c r="X95" t="n">
        <v>16967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20472</v>
      </c>
      <c r="C96" t="inlineStr">
        <is>
          <t>Wharton County Elec Coop, Inc</t>
        </is>
      </c>
      <c r="D96" t="inlineStr">
        <is>
          <t>A</t>
        </is>
      </c>
      <c r="E96" t="inlineStr">
        <is>
          <t>Bundled</t>
        </is>
      </c>
      <c r="F96" t="inlineStr">
        <is>
          <t>O</t>
        </is>
      </c>
      <c r="G96" t="inlineStr">
        <is>
          <t>TX</t>
        </is>
      </c>
      <c r="H96" t="inlineStr">
        <is>
          <t>Cooperative</t>
        </is>
      </c>
      <c r="I96" t="inlineStr">
        <is>
          <t>ERCO</t>
        </is>
      </c>
      <c r="J96" t="n">
        <v>9899</v>
      </c>
      <c r="K96" t="n">
        <v>74044</v>
      </c>
      <c r="L96" t="n">
        <v>5548</v>
      </c>
      <c r="M96" t="n">
        <v>7168</v>
      </c>
      <c r="N96" t="n">
        <v>60493</v>
      </c>
      <c r="O96" t="n">
        <v>1108</v>
      </c>
      <c r="P96" t="n">
        <v>9270</v>
      </c>
      <c r="Q96" t="n">
        <v>112212</v>
      </c>
      <c r="R96" t="n">
        <v>17</v>
      </c>
      <c r="S96" t="inlineStr">
        <is>
          <t>.</t>
        </is>
      </c>
      <c r="T96" t="inlineStr">
        <is>
          <t>.</t>
        </is>
      </c>
      <c r="U96" t="inlineStr">
        <is>
          <t>.</t>
        </is>
      </c>
      <c r="V96" t="n">
        <v>26337</v>
      </c>
      <c r="W96" t="n">
        <v>246749</v>
      </c>
      <c r="X96" t="n">
        <v>6673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20927</v>
      </c>
      <c r="C97" t="inlineStr">
        <is>
          <t>Wood County Electric Coop, Inc</t>
        </is>
      </c>
      <c r="D97" t="inlineStr">
        <is>
          <t>A</t>
        </is>
      </c>
      <c r="E97" t="inlineStr">
        <is>
          <t>Bundled</t>
        </is>
      </c>
      <c r="F97" t="inlineStr">
        <is>
          <t>O</t>
        </is>
      </c>
      <c r="G97" t="inlineStr">
        <is>
          <t>TX</t>
        </is>
      </c>
      <c r="H97" t="inlineStr">
        <is>
          <t>Cooperative</t>
        </is>
      </c>
      <c r="I97" t="inlineStr">
        <is>
          <t>SWPP</t>
        </is>
      </c>
      <c r="J97" t="n">
        <v>59180</v>
      </c>
      <c r="K97" t="n">
        <v>461399</v>
      </c>
      <c r="L97" t="n">
        <v>35793</v>
      </c>
      <c r="M97" t="n">
        <v>26341</v>
      </c>
      <c r="N97" t="n">
        <v>294249</v>
      </c>
      <c r="O97" t="n">
        <v>5736</v>
      </c>
      <c r="P97" t="inlineStr">
        <is>
          <t>.</t>
        </is>
      </c>
      <c r="Q97" t="inlineStr">
        <is>
          <t>.</t>
        </is>
      </c>
      <c r="R97" t="inlineStr">
        <is>
          <t>.</t>
        </is>
      </c>
      <c r="S97" t="inlineStr">
        <is>
          <t>.</t>
        </is>
      </c>
      <c r="T97" t="inlineStr">
        <is>
          <t>.</t>
        </is>
      </c>
      <c r="U97" t="inlineStr">
        <is>
          <t>.</t>
        </is>
      </c>
      <c r="V97" t="n">
        <v>85521</v>
      </c>
      <c r="W97" t="n">
        <v>755648</v>
      </c>
      <c r="X97" t="n">
        <v>41529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20948</v>
      </c>
      <c r="C98" t="inlineStr">
        <is>
          <t>Wise Electric Coop Inc</t>
        </is>
      </c>
      <c r="D98" t="inlineStr">
        <is>
          <t>A</t>
        </is>
      </c>
      <c r="E98" t="inlineStr">
        <is>
          <t>Bundled</t>
        </is>
      </c>
      <c r="F98" t="inlineStr">
        <is>
          <t>O</t>
        </is>
      </c>
      <c r="G98" t="inlineStr">
        <is>
          <t>TX</t>
        </is>
      </c>
      <c r="H98" t="inlineStr">
        <is>
          <t>Cooperative</t>
        </is>
      </c>
      <c r="I98" t="inlineStr">
        <is>
          <t>ERCO</t>
        </is>
      </c>
      <c r="J98" t="n">
        <v>54686</v>
      </c>
      <c r="K98" t="n">
        <v>351373</v>
      </c>
      <c r="L98" t="n">
        <v>20137</v>
      </c>
      <c r="M98" t="n">
        <v>45026</v>
      </c>
      <c r="N98" t="n">
        <v>403269</v>
      </c>
      <c r="O98" t="n">
        <v>6597</v>
      </c>
      <c r="P98" t="inlineStr">
        <is>
          <t>.</t>
        </is>
      </c>
      <c r="Q98" t="inlineStr">
        <is>
          <t>.</t>
        </is>
      </c>
      <c r="R98" t="inlineStr">
        <is>
          <t>.</t>
        </is>
      </c>
      <c r="S98" t="inlineStr">
        <is>
          <t>.</t>
        </is>
      </c>
      <c r="T98" t="inlineStr">
        <is>
          <t>.</t>
        </is>
      </c>
      <c r="U98" t="inlineStr">
        <is>
          <t>.</t>
        </is>
      </c>
      <c r="V98" t="n">
        <v>99712</v>
      </c>
      <c r="W98" t="n">
        <v>754642</v>
      </c>
      <c r="X98" t="n">
        <v>26734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27369</v>
      </c>
      <c r="C99" t="inlineStr">
        <is>
          <t>Taylor Electric Coop Inc - (TX)</t>
        </is>
      </c>
      <c r="D99" t="inlineStr">
        <is>
          <t>A</t>
        </is>
      </c>
      <c r="E99" t="inlineStr">
        <is>
          <t>Bundled</t>
        </is>
      </c>
      <c r="F99" t="inlineStr">
        <is>
          <t>O</t>
        </is>
      </c>
      <c r="G99" t="inlineStr">
        <is>
          <t>TX</t>
        </is>
      </c>
      <c r="H99" t="inlineStr">
        <is>
          <t>Cooperative</t>
        </is>
      </c>
      <c r="I99" t="inlineStr">
        <is>
          <t>ERCO</t>
        </is>
      </c>
      <c r="J99" t="n">
        <v>36659</v>
      </c>
      <c r="K99" t="n">
        <v>238436</v>
      </c>
      <c r="L99" t="n">
        <v>18722</v>
      </c>
      <c r="M99" t="n">
        <v>10970.9</v>
      </c>
      <c r="N99" t="n">
        <v>79117</v>
      </c>
      <c r="O99" t="n">
        <v>2740</v>
      </c>
      <c r="P99" t="n">
        <v>13843.9</v>
      </c>
      <c r="Q99" t="n">
        <v>257744</v>
      </c>
      <c r="R99" t="n">
        <v>16</v>
      </c>
      <c r="S99" t="inlineStr">
        <is>
          <t>.</t>
        </is>
      </c>
      <c r="T99" t="inlineStr">
        <is>
          <t>.</t>
        </is>
      </c>
      <c r="U99" t="inlineStr">
        <is>
          <t>.</t>
        </is>
      </c>
      <c r="V99" t="n">
        <v>61473.8</v>
      </c>
      <c r="W99" t="n">
        <v>575297</v>
      </c>
      <c r="X99" t="n">
        <v>21478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28604</v>
      </c>
      <c r="C100" t="inlineStr">
        <is>
          <t>Kerrville Public Utility Board</t>
        </is>
      </c>
      <c r="D100" t="inlineStr">
        <is>
          <t>A</t>
        </is>
      </c>
      <c r="E100" t="inlineStr">
        <is>
          <t>Bundled</t>
        </is>
      </c>
      <c r="F100" t="inlineStr">
        <is>
          <t>O</t>
        </is>
      </c>
      <c r="G100" t="inlineStr">
        <is>
          <t>TX</t>
        </is>
      </c>
      <c r="H100" t="inlineStr">
        <is>
          <t>Municipal</t>
        </is>
      </c>
      <c r="I100" t="inlineStr">
        <is>
          <t>ERCO</t>
        </is>
      </c>
      <c r="J100" t="n">
        <v>24903.2</v>
      </c>
      <c r="K100" t="n">
        <v>285925</v>
      </c>
      <c r="L100" t="n">
        <v>20278</v>
      </c>
      <c r="M100" t="n">
        <v>18341.1</v>
      </c>
      <c r="N100" t="n">
        <v>222391</v>
      </c>
      <c r="O100" t="n">
        <v>4109</v>
      </c>
      <c r="P100" t="inlineStr">
        <is>
          <t>.</t>
        </is>
      </c>
      <c r="Q100" t="inlineStr">
        <is>
          <t>.</t>
        </is>
      </c>
      <c r="R100" t="inlineStr">
        <is>
          <t>.</t>
        </is>
      </c>
      <c r="S100" t="inlineStr">
        <is>
          <t>.</t>
        </is>
      </c>
      <c r="T100" t="inlineStr">
        <is>
          <t>.</t>
        </is>
      </c>
      <c r="U100" t="inlineStr">
        <is>
          <t>.</t>
        </is>
      </c>
      <c r="V100" t="n">
        <v>43244.3</v>
      </c>
      <c r="W100" t="n">
        <v>508316</v>
      </c>
      <c r="X100" t="n">
        <v>24387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28802</v>
      </c>
      <c r="C101" t="inlineStr">
        <is>
          <t>Talen Energy Marketing, LLC</t>
        </is>
      </c>
      <c r="D101" t="inlineStr">
        <is>
          <t>D</t>
        </is>
      </c>
      <c r="E101" t="inlineStr">
        <is>
          <t>Bundled</t>
        </is>
      </c>
      <c r="F101" t="inlineStr">
        <is>
          <t>O</t>
        </is>
      </c>
      <c r="G101" t="inlineStr">
        <is>
          <t>TX</t>
        </is>
      </c>
      <c r="H101" t="inlineStr">
        <is>
          <t>Retail Power Marketer</t>
        </is>
      </c>
      <c r="I101" t="inlineStr">
        <is>
          <t>ERCO</t>
        </is>
      </c>
      <c r="J101" t="inlineStr">
        <is>
          <t>.</t>
        </is>
      </c>
      <c r="K101" t="inlineStr">
        <is>
          <t>.</t>
        </is>
      </c>
      <c r="L101" t="inlineStr">
        <is>
          <t>.</t>
        </is>
      </c>
      <c r="M101" t="inlineStr">
        <is>
          <t>.</t>
        </is>
      </c>
      <c r="N101" t="inlineStr">
        <is>
          <t>.</t>
        </is>
      </c>
      <c r="O101" t="inlineStr">
        <is>
          <t>.</t>
        </is>
      </c>
      <c r="P101" t="n">
        <v>322</v>
      </c>
      <c r="Q101" t="n">
        <v>16648</v>
      </c>
      <c r="R101" t="n">
        <v>3</v>
      </c>
      <c r="S101" t="inlineStr">
        <is>
          <t>.</t>
        </is>
      </c>
      <c r="T101" t="inlineStr">
        <is>
          <t>.</t>
        </is>
      </c>
      <c r="U101" t="inlineStr">
        <is>
          <t>.</t>
        </is>
      </c>
      <c r="V101" t="n">
        <v>322</v>
      </c>
      <c r="W101" t="n">
        <v>16648</v>
      </c>
      <c r="X101" t="n">
        <v>3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28978</v>
      </c>
      <c r="C102" t="inlineStr">
        <is>
          <t>City of San Marcos - (TX)</t>
        </is>
      </c>
      <c r="D102" t="inlineStr">
        <is>
          <t>A</t>
        </is>
      </c>
      <c r="E102" t="inlineStr">
        <is>
          <t>Bundled</t>
        </is>
      </c>
      <c r="F102" t="inlineStr">
        <is>
          <t>O</t>
        </is>
      </c>
      <c r="G102" t="inlineStr">
        <is>
          <t>TX</t>
        </is>
      </c>
      <c r="H102" t="inlineStr">
        <is>
          <t>Municipal</t>
        </is>
      </c>
      <c r="I102" t="inlineStr">
        <is>
          <t>ERCO</t>
        </is>
      </c>
      <c r="J102" t="n">
        <v>29281</v>
      </c>
      <c r="K102" t="n">
        <v>243423</v>
      </c>
      <c r="L102" t="n">
        <v>22261</v>
      </c>
      <c r="M102" t="n">
        <v>41801</v>
      </c>
      <c r="N102" t="n">
        <v>399413</v>
      </c>
      <c r="O102" t="n">
        <v>3761</v>
      </c>
      <c r="P102" t="n">
        <v>240</v>
      </c>
      <c r="Q102" t="n">
        <v>2422</v>
      </c>
      <c r="R102" t="n">
        <v>2</v>
      </c>
      <c r="S102" t="inlineStr">
        <is>
          <t>.</t>
        </is>
      </c>
      <c r="T102" t="inlineStr">
        <is>
          <t>.</t>
        </is>
      </c>
      <c r="U102" t="inlineStr">
        <is>
          <t>.</t>
        </is>
      </c>
      <c r="V102" t="n">
        <v>71322</v>
      </c>
      <c r="W102" t="n">
        <v>645258</v>
      </c>
      <c r="X102" t="n">
        <v>26024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49730</v>
      </c>
      <c r="C103" t="inlineStr">
        <is>
          <t>American PowerNet</t>
        </is>
      </c>
      <c r="D103" t="inlineStr">
        <is>
          <t>D</t>
        </is>
      </c>
      <c r="E103" t="inlineStr">
        <is>
          <t>Bundled</t>
        </is>
      </c>
      <c r="F103" t="inlineStr">
        <is>
          <t>O</t>
        </is>
      </c>
      <c r="G103" t="inlineStr">
        <is>
          <t>TX</t>
        </is>
      </c>
      <c r="H103" t="inlineStr">
        <is>
          <t>Retail Power Marketer</t>
        </is>
      </c>
      <c r="I103" t="inlineStr">
        <is>
          <t>ERCO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12995.4</v>
      </c>
      <c r="Q103" t="n">
        <v>171602</v>
      </c>
      <c r="R103" t="n">
        <v>2</v>
      </c>
      <c r="S103" t="n">
        <v>0</v>
      </c>
      <c r="T103" t="n">
        <v>0</v>
      </c>
      <c r="U103" t="n">
        <v>0</v>
      </c>
      <c r="V103" t="n">
        <v>12995.4</v>
      </c>
      <c r="W103" t="n">
        <v>171602</v>
      </c>
      <c r="X103" t="n">
        <v>2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49818</v>
      </c>
      <c r="C104" t="inlineStr">
        <is>
          <t>Alliance Power Company, LLC.</t>
        </is>
      </c>
      <c r="D104" t="inlineStr">
        <is>
          <t>D</t>
        </is>
      </c>
      <c r="E104" t="inlineStr">
        <is>
          <t>Bundled</t>
        </is>
      </c>
      <c r="F104" t="inlineStr">
        <is>
          <t>O</t>
        </is>
      </c>
      <c r="G104" t="inlineStr">
        <is>
          <t>TX</t>
        </is>
      </c>
      <c r="H104" t="inlineStr">
        <is>
          <t>Retail Power Marketer</t>
        </is>
      </c>
      <c r="I104" t="inlineStr">
        <is>
          <t>ERCO</t>
        </is>
      </c>
      <c r="J104" t="n">
        <v>8355.799999999999</v>
      </c>
      <c r="K104" t="n">
        <v>79547</v>
      </c>
      <c r="L104" t="n">
        <v>5272</v>
      </c>
      <c r="M104" t="n">
        <v>9131.5</v>
      </c>
      <c r="N104" t="n">
        <v>128107</v>
      </c>
      <c r="O104" t="n">
        <v>2986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17487.3</v>
      </c>
      <c r="W104" t="n">
        <v>207654</v>
      </c>
      <c r="X104" t="n">
        <v>8258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49853</v>
      </c>
      <c r="C105" t="inlineStr">
        <is>
          <t>Amigo Energy</t>
        </is>
      </c>
      <c r="D105" t="inlineStr">
        <is>
          <t>D</t>
        </is>
      </c>
      <c r="E105" t="inlineStr">
        <is>
          <t>Bundled</t>
        </is>
      </c>
      <c r="F105" t="inlineStr">
        <is>
          <t>O</t>
        </is>
      </c>
      <c r="G105" t="inlineStr">
        <is>
          <t>TX</t>
        </is>
      </c>
      <c r="H105" t="inlineStr">
        <is>
          <t>Retail Power Marketer</t>
        </is>
      </c>
      <c r="I105" t="inlineStr">
        <is>
          <t>ERCO</t>
        </is>
      </c>
      <c r="J105" t="n">
        <v>307336.1</v>
      </c>
      <c r="K105" t="n">
        <v>1898234</v>
      </c>
      <c r="L105" t="n">
        <v>146495</v>
      </c>
      <c r="M105" t="n">
        <v>26932.3</v>
      </c>
      <c r="N105" t="n">
        <v>239304</v>
      </c>
      <c r="O105" t="n">
        <v>5754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334268.4</v>
      </c>
      <c r="W105" t="n">
        <v>2137538</v>
      </c>
      <c r="X105" t="n">
        <v>152249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49952</v>
      </c>
      <c r="C106" t="inlineStr">
        <is>
          <t>3000 Energy Corp</t>
        </is>
      </c>
      <c r="D106" t="inlineStr">
        <is>
          <t>D</t>
        </is>
      </c>
      <c r="E106" t="inlineStr">
        <is>
          <t>Bundled</t>
        </is>
      </c>
      <c r="F106" t="inlineStr">
        <is>
          <t>O</t>
        </is>
      </c>
      <c r="G106" t="inlineStr">
        <is>
          <t>TX</t>
        </is>
      </c>
      <c r="H106" t="inlineStr">
        <is>
          <t>Retail Power Marketer</t>
        </is>
      </c>
      <c r="I106" t="inlineStr">
        <is>
          <t>ERCO</t>
        </is>
      </c>
      <c r="J106" t="n">
        <v>3123.7</v>
      </c>
      <c r="K106" t="n">
        <v>25859</v>
      </c>
      <c r="L106" t="n">
        <v>1416</v>
      </c>
      <c r="M106" t="n">
        <v>799.3</v>
      </c>
      <c r="N106" t="n">
        <v>9214</v>
      </c>
      <c r="O106" t="n">
        <v>119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3923</v>
      </c>
      <c r="W106" t="n">
        <v>35073</v>
      </c>
      <c r="X106" t="n">
        <v>1535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50041</v>
      </c>
      <c r="C107" t="inlineStr">
        <is>
          <t>Stream SPE, LTD</t>
        </is>
      </c>
      <c r="D107" t="inlineStr">
        <is>
          <t>D</t>
        </is>
      </c>
      <c r="E107" t="inlineStr">
        <is>
          <t>Bundled</t>
        </is>
      </c>
      <c r="F107" t="inlineStr">
        <is>
          <t>O</t>
        </is>
      </c>
      <c r="G107" t="inlineStr">
        <is>
          <t>TX</t>
        </is>
      </c>
      <c r="H107" t="inlineStr">
        <is>
          <t>Retail Power Marketer</t>
        </is>
      </c>
      <c r="I107" t="inlineStr">
        <is>
          <t>ERCO</t>
        </is>
      </c>
      <c r="J107" t="n">
        <v>377745.5</v>
      </c>
      <c r="K107" t="n">
        <v>2276109</v>
      </c>
      <c r="L107" t="n">
        <v>158854</v>
      </c>
      <c r="M107" t="n">
        <v>42879.7</v>
      </c>
      <c r="N107" t="n">
        <v>230935</v>
      </c>
      <c r="O107" t="n">
        <v>14308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420625.2</v>
      </c>
      <c r="W107" t="n">
        <v>2507044</v>
      </c>
      <c r="X107" t="n">
        <v>173162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50046</v>
      </c>
      <c r="C108" t="inlineStr">
        <is>
          <t>Texas Retail Energy, LLC</t>
        </is>
      </c>
      <c r="D108" t="inlineStr">
        <is>
          <t>D</t>
        </is>
      </c>
      <c r="E108" t="inlineStr">
        <is>
          <t>Bundled</t>
        </is>
      </c>
      <c r="F108" t="inlineStr">
        <is>
          <t>O</t>
        </is>
      </c>
      <c r="G108" t="inlineStr">
        <is>
          <t>TX</t>
        </is>
      </c>
      <c r="H108" t="inlineStr">
        <is>
          <t>Retail Power Marketer</t>
        </is>
      </c>
      <c r="I108" t="inlineStr">
        <is>
          <t>ERCO</t>
        </is>
      </c>
      <c r="J108" t="n">
        <v>0</v>
      </c>
      <c r="K108" t="n">
        <v>0</v>
      </c>
      <c r="L108" t="n">
        <v>0</v>
      </c>
      <c r="M108" t="n">
        <v>138798.5</v>
      </c>
      <c r="N108" t="n">
        <v>1684185</v>
      </c>
      <c r="O108" t="n">
        <v>603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138798.5</v>
      </c>
      <c r="W108" t="n">
        <v>1684185</v>
      </c>
      <c r="X108" t="n">
        <v>603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54728</v>
      </c>
      <c r="C109" t="inlineStr">
        <is>
          <t>Texas General Land Office</t>
        </is>
      </c>
      <c r="D109" t="inlineStr">
        <is>
          <t>D</t>
        </is>
      </c>
      <c r="E109" t="inlineStr">
        <is>
          <t>Bundled</t>
        </is>
      </c>
      <c r="F109" t="inlineStr">
        <is>
          <t>O</t>
        </is>
      </c>
      <c r="G109" t="inlineStr">
        <is>
          <t>TX</t>
        </is>
      </c>
      <c r="H109" t="inlineStr">
        <is>
          <t>Retail Power Marketer</t>
        </is>
      </c>
      <c r="I109" t="inlineStr">
        <is>
          <t>ERCO</t>
        </is>
      </c>
      <c r="J109" t="n">
        <v>0</v>
      </c>
      <c r="K109" t="n">
        <v>0</v>
      </c>
      <c r="L109" t="n">
        <v>0</v>
      </c>
      <c r="M109" t="n">
        <v>11989</v>
      </c>
      <c r="N109" t="n">
        <v>179847</v>
      </c>
      <c r="O109" t="n">
        <v>259</v>
      </c>
      <c r="P109" t="n">
        <v>0</v>
      </c>
      <c r="Q109" t="n">
        <v>0</v>
      </c>
      <c r="R109" t="n">
        <v>0</v>
      </c>
      <c r="S109" t="n">
        <v>132.5</v>
      </c>
      <c r="T109" t="n">
        <v>1428</v>
      </c>
      <c r="U109" t="n">
        <v>2</v>
      </c>
      <c r="V109" t="n">
        <v>12121.5</v>
      </c>
      <c r="W109" t="n">
        <v>181275</v>
      </c>
      <c r="X109" t="n">
        <v>261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54820</v>
      </c>
      <c r="C110" t="inlineStr">
        <is>
          <t>Direct Energy Services</t>
        </is>
      </c>
      <c r="D110" t="inlineStr">
        <is>
          <t>D</t>
        </is>
      </c>
      <c r="E110" t="inlineStr">
        <is>
          <t>Bundled</t>
        </is>
      </c>
      <c r="F110" t="inlineStr">
        <is>
          <t>O</t>
        </is>
      </c>
      <c r="G110" t="inlineStr">
        <is>
          <t>TX</t>
        </is>
      </c>
      <c r="H110" t="inlineStr">
        <is>
          <t>Retail Power Marketer</t>
        </is>
      </c>
      <c r="I110" t="inlineStr">
        <is>
          <t>ERCO</t>
        </is>
      </c>
      <c r="J110" t="n">
        <v>581569.5</v>
      </c>
      <c r="K110" t="n">
        <v>3552186</v>
      </c>
      <c r="L110" t="n">
        <v>266249</v>
      </c>
      <c r="M110" t="n">
        <v>36703.3</v>
      </c>
      <c r="N110" t="n">
        <v>224240</v>
      </c>
      <c r="O110" t="n">
        <v>17209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618272.8</v>
      </c>
      <c r="W110" t="n">
        <v>3776426</v>
      </c>
      <c r="X110" t="n">
        <v>283458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54862</v>
      </c>
      <c r="C111" t="inlineStr">
        <is>
          <t>Champion Energy Services</t>
        </is>
      </c>
      <c r="D111" t="inlineStr">
        <is>
          <t>D</t>
        </is>
      </c>
      <c r="E111" t="inlineStr">
        <is>
          <t>Bundled</t>
        </is>
      </c>
      <c r="F111" t="inlineStr">
        <is>
          <t>O</t>
        </is>
      </c>
      <c r="G111" t="inlineStr">
        <is>
          <t>TX</t>
        </is>
      </c>
      <c r="H111" t="inlineStr">
        <is>
          <t>Retail Power Marketer</t>
        </is>
      </c>
      <c r="I111" t="inlineStr">
        <is>
          <t>ERCO</t>
        </is>
      </c>
      <c r="J111" t="n">
        <v>257329.8</v>
      </c>
      <c r="K111" t="n">
        <v>2579074</v>
      </c>
      <c r="L111" t="n">
        <v>225587</v>
      </c>
      <c r="M111" t="n">
        <v>17664.2</v>
      </c>
      <c r="N111" t="n">
        <v>333586</v>
      </c>
      <c r="O111" t="n">
        <v>4187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274994</v>
      </c>
      <c r="W111" t="n">
        <v>2912660</v>
      </c>
      <c r="X111" t="n">
        <v>229774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54872</v>
      </c>
      <c r="C112" t="inlineStr">
        <is>
          <t>Accent Energy Holdings, LLC</t>
        </is>
      </c>
      <c r="D112" t="inlineStr">
        <is>
          <t>D</t>
        </is>
      </c>
      <c r="E112" t="inlineStr">
        <is>
          <t>Bundled</t>
        </is>
      </c>
      <c r="F112" t="inlineStr">
        <is>
          <t>O</t>
        </is>
      </c>
      <c r="G112" t="inlineStr">
        <is>
          <t>TX</t>
        </is>
      </c>
      <c r="H112" t="inlineStr">
        <is>
          <t>Retail Power Marketer</t>
        </is>
      </c>
      <c r="I112" t="inlineStr">
        <is>
          <t>ERCO</t>
        </is>
      </c>
      <c r="J112" t="n">
        <v>7471</v>
      </c>
      <c r="K112" t="n">
        <v>42624</v>
      </c>
      <c r="L112" t="n">
        <v>3135</v>
      </c>
      <c r="M112" t="n">
        <v>2521</v>
      </c>
      <c r="N112" t="n">
        <v>18300</v>
      </c>
      <c r="O112" t="n">
        <v>501</v>
      </c>
      <c r="P112" t="inlineStr">
        <is>
          <t>.</t>
        </is>
      </c>
      <c r="Q112" t="inlineStr">
        <is>
          <t>.</t>
        </is>
      </c>
      <c r="R112" t="inlineStr">
        <is>
          <t>.</t>
        </is>
      </c>
      <c r="S112" t="inlineStr">
        <is>
          <t>.</t>
        </is>
      </c>
      <c r="T112" t="inlineStr">
        <is>
          <t>.</t>
        </is>
      </c>
      <c r="U112" t="inlineStr">
        <is>
          <t>.</t>
        </is>
      </c>
      <c r="V112" t="n">
        <v>9992</v>
      </c>
      <c r="W112" t="n">
        <v>60924</v>
      </c>
      <c r="X112" t="n">
        <v>3636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55878</v>
      </c>
      <c r="C113" t="inlineStr">
        <is>
          <t>Hudson Energy Services</t>
        </is>
      </c>
      <c r="D113" t="inlineStr">
        <is>
          <t>D</t>
        </is>
      </c>
      <c r="E113" t="inlineStr">
        <is>
          <t>Bundled</t>
        </is>
      </c>
      <c r="F113" t="inlineStr">
        <is>
          <t>O</t>
        </is>
      </c>
      <c r="G113" t="inlineStr">
        <is>
          <t>TX</t>
        </is>
      </c>
      <c r="H113" t="inlineStr">
        <is>
          <t>Retail Power Marketer</t>
        </is>
      </c>
      <c r="I113" t="inlineStr">
        <is>
          <t>ERCO</t>
        </is>
      </c>
      <c r="J113" t="n">
        <v>7734.3</v>
      </c>
      <c r="K113" t="n">
        <v>63484</v>
      </c>
      <c r="L113" t="n">
        <v>4294</v>
      </c>
      <c r="M113" t="n">
        <v>322534.7</v>
      </c>
      <c r="N113" t="n">
        <v>3113514</v>
      </c>
      <c r="O113" t="n">
        <v>41322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330269</v>
      </c>
      <c r="W113" t="n">
        <v>3176998</v>
      </c>
      <c r="X113" t="n">
        <v>45616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55937</v>
      </c>
      <c r="C114" t="inlineStr">
        <is>
          <t>Entergy Texas Inc.</t>
        </is>
      </c>
      <c r="D114" t="inlineStr">
        <is>
          <t>A</t>
        </is>
      </c>
      <c r="E114" t="inlineStr">
        <is>
          <t>Bundled</t>
        </is>
      </c>
      <c r="F114" t="inlineStr">
        <is>
          <t>O</t>
        </is>
      </c>
      <c r="G114" t="inlineStr">
        <is>
          <t>TX</t>
        </is>
      </c>
      <c r="H114" t="inlineStr">
        <is>
          <t>Investor Owned</t>
        </is>
      </c>
      <c r="I114" t="inlineStr">
        <is>
          <t>MISO</t>
        </is>
      </c>
      <c r="J114" t="n">
        <v>907326.8</v>
      </c>
      <c r="K114" t="n">
        <v>6639981</v>
      </c>
      <c r="L114" t="n">
        <v>457369</v>
      </c>
      <c r="M114" t="n">
        <v>493772.9</v>
      </c>
      <c r="N114" t="n">
        <v>5140970</v>
      </c>
      <c r="O114" t="n">
        <v>55766</v>
      </c>
      <c r="P114" t="n">
        <v>557027.6</v>
      </c>
      <c r="Q114" t="n">
        <v>9488792</v>
      </c>
      <c r="R114" t="n">
        <v>6081</v>
      </c>
      <c r="S114" t="inlineStr">
        <is>
          <t>.</t>
        </is>
      </c>
      <c r="T114" t="inlineStr">
        <is>
          <t>.</t>
        </is>
      </c>
      <c r="U114" t="inlineStr">
        <is>
          <t>.</t>
        </is>
      </c>
      <c r="V114" t="n">
        <v>1958127.3</v>
      </c>
      <c r="W114" t="n">
        <v>21269743</v>
      </c>
      <c r="X114" t="n">
        <v>519216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55982</v>
      </c>
      <c r="C115" t="inlineStr">
        <is>
          <t>Heart of Texas Electric Coop</t>
        </is>
      </c>
      <c r="D115" t="inlineStr">
        <is>
          <t>A</t>
        </is>
      </c>
      <c r="E115" t="inlineStr">
        <is>
          <t>Bundled</t>
        </is>
      </c>
      <c r="F115" t="inlineStr">
        <is>
          <t>O</t>
        </is>
      </c>
      <c r="G115" t="inlineStr">
        <is>
          <t>TX</t>
        </is>
      </c>
      <c r="H115" t="inlineStr">
        <is>
          <t>Cooperative</t>
        </is>
      </c>
      <c r="I115" t="inlineStr">
        <is>
          <t>ERCO</t>
        </is>
      </c>
      <c r="J115" t="n">
        <v>43220</v>
      </c>
      <c r="K115" t="n">
        <v>342370</v>
      </c>
      <c r="L115" t="n">
        <v>18722</v>
      </c>
      <c r="M115" t="n">
        <v>11987</v>
      </c>
      <c r="N115" t="n">
        <v>86604</v>
      </c>
      <c r="O115" t="n">
        <v>5928</v>
      </c>
      <c r="P115" t="n">
        <v>11559</v>
      </c>
      <c r="Q115" t="n">
        <v>207001</v>
      </c>
      <c r="R115" t="n">
        <v>90</v>
      </c>
      <c r="S115" t="inlineStr">
        <is>
          <t>.</t>
        </is>
      </c>
      <c r="T115" t="inlineStr">
        <is>
          <t>.</t>
        </is>
      </c>
      <c r="U115" t="inlineStr">
        <is>
          <t>.</t>
        </is>
      </c>
      <c r="V115" t="n">
        <v>66766</v>
      </c>
      <c r="W115" t="n">
        <v>635975</v>
      </c>
      <c r="X115" t="n">
        <v>24740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56212</v>
      </c>
      <c r="C116" t="inlineStr">
        <is>
          <t>Ambit Energy Holdings, LLC</t>
        </is>
      </c>
      <c r="D116" t="inlineStr">
        <is>
          <t>D</t>
        </is>
      </c>
      <c r="E116" t="inlineStr">
        <is>
          <t>Bundled</t>
        </is>
      </c>
      <c r="F116" t="inlineStr">
        <is>
          <t>O</t>
        </is>
      </c>
      <c r="G116" t="inlineStr">
        <is>
          <t>TX</t>
        </is>
      </c>
      <c r="H116" t="inlineStr">
        <is>
          <t>Retail Power Marketer</t>
        </is>
      </c>
      <c r="I116" t="inlineStr">
        <is>
          <t>ERCO</t>
        </is>
      </c>
      <c r="J116" t="n">
        <v>771243.6</v>
      </c>
      <c r="K116" t="n">
        <v>4107956</v>
      </c>
      <c r="L116" t="n">
        <v>360476</v>
      </c>
      <c r="M116" t="n">
        <v>82828.89999999999</v>
      </c>
      <c r="N116" t="n">
        <v>441432</v>
      </c>
      <c r="O116" t="n">
        <v>23186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854072.5</v>
      </c>
      <c r="W116" t="n">
        <v>4549388</v>
      </c>
      <c r="X116" t="n">
        <v>383662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56248</v>
      </c>
      <c r="C117" t="inlineStr">
        <is>
          <t>Young Energy, LLC</t>
        </is>
      </c>
      <c r="D117" t="inlineStr">
        <is>
          <t>D</t>
        </is>
      </c>
      <c r="E117" t="inlineStr">
        <is>
          <t>Bundled</t>
        </is>
      </c>
      <c r="F117" t="inlineStr">
        <is>
          <t>O</t>
        </is>
      </c>
      <c r="G117" t="inlineStr">
        <is>
          <t>TX</t>
        </is>
      </c>
      <c r="H117" t="inlineStr">
        <is>
          <t>Retail Power Marketer</t>
        </is>
      </c>
      <c r="I117" t="inlineStr">
        <is>
          <t>ERCO</t>
        </is>
      </c>
      <c r="J117" t="n">
        <v>119805</v>
      </c>
      <c r="K117" t="n">
        <v>616988</v>
      </c>
      <c r="L117" t="n">
        <v>53002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119805</v>
      </c>
      <c r="W117" t="n">
        <v>616988</v>
      </c>
      <c r="X117" t="n">
        <v>53002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56286</v>
      </c>
      <c r="C118" t="inlineStr">
        <is>
          <t>Frontier Utilities, LLC</t>
        </is>
      </c>
      <c r="D118" t="inlineStr">
        <is>
          <t>D</t>
        </is>
      </c>
      <c r="E118" t="inlineStr">
        <is>
          <t>Bundled</t>
        </is>
      </c>
      <c r="F118" t="inlineStr">
        <is>
          <t>O</t>
        </is>
      </c>
      <c r="G118" t="inlineStr">
        <is>
          <t>TX</t>
        </is>
      </c>
      <c r="H118" t="inlineStr">
        <is>
          <t>Retail Power Marketer</t>
        </is>
      </c>
      <c r="I118" t="inlineStr">
        <is>
          <t>ERCO</t>
        </is>
      </c>
      <c r="J118" t="n">
        <v>300669.2</v>
      </c>
      <c r="K118" t="n">
        <v>1787863</v>
      </c>
      <c r="L118" t="n">
        <v>132700</v>
      </c>
      <c r="M118" t="n">
        <v>5673.8</v>
      </c>
      <c r="N118" t="n">
        <v>33050</v>
      </c>
      <c r="O118" t="n">
        <v>492</v>
      </c>
      <c r="P118" t="inlineStr">
        <is>
          <t>.</t>
        </is>
      </c>
      <c r="Q118" t="inlineStr">
        <is>
          <t>.</t>
        </is>
      </c>
      <c r="R118" t="inlineStr">
        <is>
          <t>.</t>
        </is>
      </c>
      <c r="S118" t="inlineStr">
        <is>
          <t>.</t>
        </is>
      </c>
      <c r="T118" t="inlineStr">
        <is>
          <t>.</t>
        </is>
      </c>
      <c r="U118" t="inlineStr">
        <is>
          <t>.</t>
        </is>
      </c>
      <c r="V118" t="n">
        <v>306343</v>
      </c>
      <c r="W118" t="n">
        <v>1820913</v>
      </c>
      <c r="X118" t="n">
        <v>133192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56571</v>
      </c>
      <c r="C119" t="inlineStr">
        <is>
          <t>AP Holdings LLC</t>
        </is>
      </c>
      <c r="D119" t="inlineStr">
        <is>
          <t>D</t>
        </is>
      </c>
      <c r="E119" t="inlineStr">
        <is>
          <t>Bundled</t>
        </is>
      </c>
      <c r="F119" t="inlineStr">
        <is>
          <t>O</t>
        </is>
      </c>
      <c r="G119" t="inlineStr">
        <is>
          <t>TX</t>
        </is>
      </c>
      <c r="H119" t="inlineStr">
        <is>
          <t>Retail Power Marketer</t>
        </is>
      </c>
      <c r="I119" t="inlineStr">
        <is>
          <t>ERCO</t>
        </is>
      </c>
      <c r="J119" t="n">
        <v>61154.9</v>
      </c>
      <c r="K119" t="n">
        <v>664101</v>
      </c>
      <c r="L119" t="n">
        <v>48235</v>
      </c>
      <c r="M119" t="n">
        <v>117969.6</v>
      </c>
      <c r="N119" t="n">
        <v>1679794</v>
      </c>
      <c r="O119" t="n">
        <v>39136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179124.5</v>
      </c>
      <c r="W119" t="n">
        <v>2343895</v>
      </c>
      <c r="X119" t="n">
        <v>87371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56734</v>
      </c>
      <c r="C120" t="inlineStr">
        <is>
          <t>Smart Prepaid Electric</t>
        </is>
      </c>
      <c r="D120" t="inlineStr">
        <is>
          <t>D</t>
        </is>
      </c>
      <c r="E120" t="inlineStr">
        <is>
          <t>Bundled</t>
        </is>
      </c>
      <c r="F120" t="inlineStr">
        <is>
          <t>O</t>
        </is>
      </c>
      <c r="G120" t="inlineStr">
        <is>
          <t>TX</t>
        </is>
      </c>
      <c r="H120" t="inlineStr">
        <is>
          <t>Retail Power Marketer</t>
        </is>
      </c>
      <c r="I120" t="inlineStr">
        <is>
          <t>ERCO</t>
        </is>
      </c>
      <c r="J120" t="n">
        <v>148</v>
      </c>
      <c r="K120" t="n">
        <v>943</v>
      </c>
      <c r="L120" t="n">
        <v>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148</v>
      </c>
      <c r="W120" t="n">
        <v>943</v>
      </c>
      <c r="X120" t="n">
        <v>96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57132</v>
      </c>
      <c r="C121" t="inlineStr">
        <is>
          <t>US Retailers, LLC</t>
        </is>
      </c>
      <c r="D121" t="inlineStr">
        <is>
          <t>D</t>
        </is>
      </c>
      <c r="E121" t="inlineStr">
        <is>
          <t>Bundled</t>
        </is>
      </c>
      <c r="F121" t="inlineStr">
        <is>
          <t>O</t>
        </is>
      </c>
      <c r="G121" t="inlineStr">
        <is>
          <t>TX</t>
        </is>
      </c>
      <c r="H121" t="inlineStr">
        <is>
          <t>Retail Power Marketer</t>
        </is>
      </c>
      <c r="I121" t="inlineStr">
        <is>
          <t>ERCO</t>
        </is>
      </c>
      <c r="J121" t="n">
        <v>959524.4</v>
      </c>
      <c r="K121" t="n">
        <v>6570044</v>
      </c>
      <c r="L121" t="n">
        <v>412301</v>
      </c>
      <c r="M121" t="n">
        <v>327696.4</v>
      </c>
      <c r="N121" t="n">
        <v>2865821</v>
      </c>
      <c r="O121" t="n">
        <v>54076</v>
      </c>
      <c r="P121" t="inlineStr">
        <is>
          <t>.</t>
        </is>
      </c>
      <c r="Q121" t="inlineStr">
        <is>
          <t>.</t>
        </is>
      </c>
      <c r="R121" t="inlineStr">
        <is>
          <t>.</t>
        </is>
      </c>
      <c r="S121" t="inlineStr">
        <is>
          <t>.</t>
        </is>
      </c>
      <c r="T121" t="inlineStr">
        <is>
          <t>.</t>
        </is>
      </c>
      <c r="U121" t="inlineStr">
        <is>
          <t>.</t>
        </is>
      </c>
      <c r="V121" t="n">
        <v>1287220.8</v>
      </c>
      <c r="W121" t="n">
        <v>9435865</v>
      </c>
      <c r="X121" t="n">
        <v>466377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57313</v>
      </c>
      <c r="C122" t="inlineStr">
        <is>
          <t>Tesla Inc.</t>
        </is>
      </c>
      <c r="D122" t="inlineStr">
        <is>
          <t>A</t>
        </is>
      </c>
      <c r="E122" t="inlineStr">
        <is>
          <t>Bundled</t>
        </is>
      </c>
      <c r="F122" t="inlineStr">
        <is>
          <t>O</t>
        </is>
      </c>
      <c r="G122" t="inlineStr">
        <is>
          <t>TX</t>
        </is>
      </c>
      <c r="H122" t="inlineStr">
        <is>
          <t>Behind the Meter</t>
        </is>
      </c>
      <c r="I122" t="inlineStr">
        <is>
          <t>EPE</t>
        </is>
      </c>
      <c r="J122" t="n">
        <v>918</v>
      </c>
      <c r="K122" t="n">
        <v>7644</v>
      </c>
      <c r="L122" t="n">
        <v>1126</v>
      </c>
      <c r="M122" t="n">
        <v>77</v>
      </c>
      <c r="N122" t="n">
        <v>814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995</v>
      </c>
      <c r="W122" t="n">
        <v>8458</v>
      </c>
      <c r="X122" t="n">
        <v>1128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  <row r="123">
      <c r="A123" t="n">
        <v>2024</v>
      </c>
      <c r="B123" t="n">
        <v>57313</v>
      </c>
      <c r="C123" t="inlineStr">
        <is>
          <t>Tesla Inc.</t>
        </is>
      </c>
      <c r="D123" t="inlineStr">
        <is>
          <t>A</t>
        </is>
      </c>
      <c r="E123" t="inlineStr">
        <is>
          <t>Bundled</t>
        </is>
      </c>
      <c r="F123" t="inlineStr">
        <is>
          <t>O</t>
        </is>
      </c>
      <c r="G123" t="inlineStr">
        <is>
          <t>TX</t>
        </is>
      </c>
      <c r="H123" t="inlineStr">
        <is>
          <t>Behind the Meter</t>
        </is>
      </c>
      <c r="I123" t="inlineStr">
        <is>
          <t>ERCO</t>
        </is>
      </c>
      <c r="J123" t="n">
        <v>6790</v>
      </c>
      <c r="K123" t="n">
        <v>51393</v>
      </c>
      <c r="L123" t="n">
        <v>6138</v>
      </c>
      <c r="M123" t="n">
        <v>1930</v>
      </c>
      <c r="N123" t="n">
        <v>19640</v>
      </c>
      <c r="O123" t="n">
        <v>1269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8720</v>
      </c>
      <c r="W123" t="n">
        <v>71033</v>
      </c>
      <c r="X123" t="n">
        <v>7407</v>
      </c>
      <c r="Y123">
        <f>IF(ISNUMBER($W123),$W123,0)</f>
        <v/>
      </c>
      <c r="Z123">
        <f>IF(ISNUMBER(SEARCH("Adjustment",$C123)),"excluded",IF($H123="Behind the Meter","excluded",IF(NOT(OR($E123="Bundled",$E123="Energy")),"excluded",IF(OR($H123="Retail Power Marketer",$H123="Community Choice Aggregator",$E123="Energy"),"procurement",IF(OR($H123="Municipal",$H123="Cooperative",$H123="Federal",$H123="State",$H123="Political Subdivision"),"cost_service",IF($H123="Investor Owned",IF(AND(COUNTIF(Parameters!$A$4:$A$33,$G123)&gt;0,COUNTIF(Parameters!$B$4:$B$33,$B123)=0),"procurement","cost_service"),"unclassified"))))))</f>
        <v/>
      </c>
    </row>
    <row r="124">
      <c r="A124" t="n">
        <v>2024</v>
      </c>
      <c r="B124" t="n">
        <v>57350</v>
      </c>
      <c r="C124" t="inlineStr">
        <is>
          <t>Summer Energy LLC</t>
        </is>
      </c>
      <c r="D124" t="inlineStr">
        <is>
          <t>D</t>
        </is>
      </c>
      <c r="E124" t="inlineStr">
        <is>
          <t>Bundled</t>
        </is>
      </c>
      <c r="F124" t="inlineStr">
        <is>
          <t>O</t>
        </is>
      </c>
      <c r="G124" t="inlineStr">
        <is>
          <t>TX</t>
        </is>
      </c>
      <c r="H124" t="inlineStr">
        <is>
          <t>Retail Power Marketer</t>
        </is>
      </c>
      <c r="I124" t="inlineStr">
        <is>
          <t>ERCO</t>
        </is>
      </c>
      <c r="J124" t="n">
        <v>21180</v>
      </c>
      <c r="K124" t="n">
        <v>124587</v>
      </c>
      <c r="L124" t="n">
        <v>8967</v>
      </c>
      <c r="M124" t="n">
        <v>227781</v>
      </c>
      <c r="N124" t="n">
        <v>2039384</v>
      </c>
      <c r="O124" t="n">
        <v>43085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248961</v>
      </c>
      <c r="W124" t="n">
        <v>2163971</v>
      </c>
      <c r="X124" t="n">
        <v>52052</v>
      </c>
      <c r="Y124">
        <f>IF(ISNUMBER($W124),$W124,0)</f>
        <v/>
      </c>
      <c r="Z124">
        <f>IF(ISNUMBER(SEARCH("Adjustment",$C124)),"excluded",IF($H124="Behind the Meter","excluded",IF(NOT(OR($E124="Bundled",$E124="Energy")),"excluded",IF(OR($H124="Retail Power Marketer",$H124="Community Choice Aggregator",$E124="Energy"),"procurement",IF(OR($H124="Municipal",$H124="Cooperative",$H124="Federal",$H124="State",$H124="Political Subdivision"),"cost_service",IF($H124="Investor Owned",IF(AND(COUNTIF(Parameters!$A$4:$A$33,$G124)&gt;0,COUNTIF(Parameters!$B$4:$B$33,$B124)=0),"procurement","cost_service"),"unclassified"))))))</f>
        <v/>
      </c>
    </row>
    <row r="125">
      <c r="A125" t="n">
        <v>2024</v>
      </c>
      <c r="B125" t="n">
        <v>57394</v>
      </c>
      <c r="C125" t="inlineStr">
        <is>
          <t>Value Based Brands LLC</t>
        </is>
      </c>
      <c r="D125" t="inlineStr">
        <is>
          <t>D</t>
        </is>
      </c>
      <c r="E125" t="inlineStr">
        <is>
          <t>Bundled</t>
        </is>
      </c>
      <c r="F125" t="inlineStr">
        <is>
          <t>O</t>
        </is>
      </c>
      <c r="G125" t="inlineStr">
        <is>
          <t>TX</t>
        </is>
      </c>
      <c r="H125" t="inlineStr">
        <is>
          <t>Retail Power Marketer</t>
        </is>
      </c>
      <c r="I125" t="inlineStr">
        <is>
          <t>ERCO</t>
        </is>
      </c>
      <c r="J125" t="n">
        <v>535559</v>
      </c>
      <c r="K125" t="n">
        <v>3178908</v>
      </c>
      <c r="L125" t="n">
        <v>221191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535559</v>
      </c>
      <c r="W125" t="n">
        <v>3178908</v>
      </c>
      <c r="X125" t="n">
        <v>221191</v>
      </c>
      <c r="Y125">
        <f>IF(ISNUMBER($W125),$W125,0)</f>
        <v/>
      </c>
      <c r="Z125">
        <f>IF(ISNUMBER(SEARCH("Adjustment",$C125)),"excluded",IF($H125="Behind the Meter","excluded",IF(NOT(OR($E125="Bundled",$E125="Energy")),"excluded",IF(OR($H125="Retail Power Marketer",$H125="Community Choice Aggregator",$E125="Energy"),"procurement",IF(OR($H125="Municipal",$H125="Cooperative",$H125="Federal",$H125="State",$H125="Political Subdivision"),"cost_service",IF($H125="Investor Owned",IF(AND(COUNTIF(Parameters!$A$4:$A$33,$G125)&gt;0,COUNTIF(Parameters!$B$4:$B$33,$B125)=0),"procurement","cost_service"),"unclassified"))))))</f>
        <v/>
      </c>
    </row>
    <row r="126">
      <c r="A126" t="n">
        <v>2024</v>
      </c>
      <c r="B126" t="n">
        <v>57459</v>
      </c>
      <c r="C126" t="inlineStr">
        <is>
          <t>Wolverine Alternative Investments, LLC</t>
        </is>
      </c>
      <c r="D126" t="inlineStr">
        <is>
          <t>D</t>
        </is>
      </c>
      <c r="E126" t="inlineStr">
        <is>
          <t>Bundled</t>
        </is>
      </c>
      <c r="F126" t="inlineStr">
        <is>
          <t>O</t>
        </is>
      </c>
      <c r="G126" t="inlineStr">
        <is>
          <t>TX</t>
        </is>
      </c>
      <c r="H126" t="inlineStr">
        <is>
          <t>Retail Power Marketer</t>
        </is>
      </c>
      <c r="I126" t="inlineStr">
        <is>
          <t>ERCO</t>
        </is>
      </c>
      <c r="J126" t="n">
        <v>332.9</v>
      </c>
      <c r="K126" t="n">
        <v>2838</v>
      </c>
      <c r="L126" t="n">
        <v>124</v>
      </c>
      <c r="M126" t="n">
        <v>2780.4</v>
      </c>
      <c r="N126" t="n">
        <v>33023</v>
      </c>
      <c r="O126" t="n">
        <v>1148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3113.3</v>
      </c>
      <c r="W126" t="n">
        <v>35861</v>
      </c>
      <c r="X126" t="n">
        <v>1272</v>
      </c>
      <c r="Y126">
        <f>IF(ISNUMBER($W126),$W126,0)</f>
        <v/>
      </c>
      <c r="Z126">
        <f>IF(ISNUMBER(SEARCH("Adjustment",$C126)),"excluded",IF($H126="Behind the Meter","excluded",IF(NOT(OR($E126="Bundled",$E126="Energy")),"excluded",IF(OR($H126="Retail Power Marketer",$H126="Community Choice Aggregator",$E126="Energy"),"procurement",IF(OR($H126="Municipal",$H126="Cooperative",$H126="Federal",$H126="State",$H126="Political Subdivision"),"cost_service",IF($H126="Investor Owned",IF(AND(COUNTIF(Parameters!$A$4:$A$33,$G126)&gt;0,COUNTIF(Parameters!$B$4:$B$33,$B126)=0),"procurement","cost_service"),"unclassified"))))))</f>
        <v/>
      </c>
    </row>
    <row r="127">
      <c r="A127" t="n">
        <v>2024</v>
      </c>
      <c r="B127" t="n">
        <v>57486</v>
      </c>
      <c r="C127" t="inlineStr">
        <is>
          <t>XOOM Energy Texas, LLC</t>
        </is>
      </c>
      <c r="D127" t="inlineStr">
        <is>
          <t>D</t>
        </is>
      </c>
      <c r="E127" t="inlineStr">
        <is>
          <t>Bundled</t>
        </is>
      </c>
      <c r="F127" t="inlineStr">
        <is>
          <t>O</t>
        </is>
      </c>
      <c r="G127" t="inlineStr">
        <is>
          <t>TX</t>
        </is>
      </c>
      <c r="H127" t="inlineStr">
        <is>
          <t>Retail Power Marketer</t>
        </is>
      </c>
      <c r="I127" t="inlineStr">
        <is>
          <t>ERCO</t>
        </is>
      </c>
      <c r="J127" t="n">
        <v>124423.6</v>
      </c>
      <c r="K127" t="n">
        <v>757034</v>
      </c>
      <c r="L127" t="n">
        <v>56866</v>
      </c>
      <c r="M127" t="n">
        <v>10765.8</v>
      </c>
      <c r="N127" t="n">
        <v>57310</v>
      </c>
      <c r="O127" t="n">
        <v>2374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135189.4</v>
      </c>
      <c r="W127" t="n">
        <v>814344</v>
      </c>
      <c r="X127" t="n">
        <v>59240</v>
      </c>
      <c r="Y127">
        <f>IF(ISNUMBER($W127),$W127,0)</f>
        <v/>
      </c>
      <c r="Z127">
        <f>IF(ISNUMBER(SEARCH("Adjustment",$C127)),"excluded",IF($H127="Behind the Meter","excluded",IF(NOT(OR($E127="Bundled",$E127="Energy")),"excluded",IF(OR($H127="Retail Power Marketer",$H127="Community Choice Aggregator",$E127="Energy"),"procurement",IF(OR($H127="Municipal",$H127="Cooperative",$H127="Federal",$H127="State",$H127="Political Subdivision"),"cost_service",IF($H127="Investor Owned",IF(AND(COUNTIF(Parameters!$A$4:$A$33,$G127)&gt;0,COUNTIF(Parameters!$B$4:$B$33,$B127)=0),"procurement","cost_service"),"unclassified"))))))</f>
        <v/>
      </c>
    </row>
    <row r="128">
      <c r="A128" t="n">
        <v>2024</v>
      </c>
      <c r="B128" t="n">
        <v>58113</v>
      </c>
      <c r="C128" t="inlineStr">
        <is>
          <t>Texas A&amp;M, Utilities &amp; Energy Services</t>
        </is>
      </c>
      <c r="D128" t="inlineStr">
        <is>
          <t>A</t>
        </is>
      </c>
      <c r="E128" t="inlineStr">
        <is>
          <t>Bundled</t>
        </is>
      </c>
      <c r="F128" t="inlineStr">
        <is>
          <t>O</t>
        </is>
      </c>
      <c r="G128" t="inlineStr">
        <is>
          <t>TX</t>
        </is>
      </c>
      <c r="H128" t="inlineStr">
        <is>
          <t>State</t>
        </is>
      </c>
      <c r="I128" t="inlineStr">
        <is>
          <t>ERCO</t>
        </is>
      </c>
      <c r="J128" t="n">
        <v>1179</v>
      </c>
      <c r="K128" t="n">
        <v>13560</v>
      </c>
      <c r="L128" t="n">
        <v>2</v>
      </c>
      <c r="M128" t="n">
        <v>3071</v>
      </c>
      <c r="N128" t="n">
        <v>35481</v>
      </c>
      <c r="O128" t="n">
        <v>28</v>
      </c>
      <c r="P128" t="n">
        <v>564</v>
      </c>
      <c r="Q128" t="n">
        <v>6496</v>
      </c>
      <c r="R128" t="n">
        <v>13</v>
      </c>
      <c r="S128" t="inlineStr">
        <is>
          <t>.</t>
        </is>
      </c>
      <c r="T128" t="inlineStr">
        <is>
          <t>.</t>
        </is>
      </c>
      <c r="U128" t="inlineStr">
        <is>
          <t>.</t>
        </is>
      </c>
      <c r="V128" t="n">
        <v>4814</v>
      </c>
      <c r="W128" t="n">
        <v>55537</v>
      </c>
      <c r="X128" t="n">
        <v>43</v>
      </c>
      <c r="Y128">
        <f>IF(ISNUMBER($W128),$W128,0)</f>
        <v/>
      </c>
      <c r="Z128">
        <f>IF(ISNUMBER(SEARCH("Adjustment",$C128)),"excluded",IF($H128="Behind the Meter","excluded",IF(NOT(OR($E128="Bundled",$E128="Energy")),"excluded",IF(OR($H128="Retail Power Marketer",$H128="Community Choice Aggregator",$E128="Energy"),"procurement",IF(OR($H128="Municipal",$H128="Cooperative",$H128="Federal",$H128="State",$H128="Political Subdivision"),"cost_service",IF($H128="Investor Owned",IF(AND(COUNTIF(Parameters!$A$4:$A$33,$G128)&gt;0,COUNTIF(Parameters!$B$4:$B$33,$B128)=0),"procurement","cost_service"),"unclassified"))))))</f>
        <v/>
      </c>
    </row>
    <row r="129">
      <c r="A129" t="n">
        <v>2024</v>
      </c>
      <c r="B129" t="n">
        <v>58952</v>
      </c>
      <c r="C129" t="inlineStr">
        <is>
          <t>Tomorrow Energy Corp.</t>
        </is>
      </c>
      <c r="D129" t="inlineStr">
        <is>
          <t>D</t>
        </is>
      </c>
      <c r="E129" t="inlineStr">
        <is>
          <t>Bundled</t>
        </is>
      </c>
      <c r="F129" t="inlineStr">
        <is>
          <t>O</t>
        </is>
      </c>
      <c r="G129" t="inlineStr">
        <is>
          <t>TX</t>
        </is>
      </c>
      <c r="H129" t="inlineStr">
        <is>
          <t>Retail Power Marketer</t>
        </is>
      </c>
      <c r="I129" t="inlineStr">
        <is>
          <t>ERCO</t>
        </is>
      </c>
      <c r="J129" t="n">
        <v>7860.9</v>
      </c>
      <c r="K129" t="n">
        <v>46054</v>
      </c>
      <c r="L129" t="n">
        <v>3830</v>
      </c>
      <c r="M129" t="inlineStr">
        <is>
          <t>.</t>
        </is>
      </c>
      <c r="N129" t="inlineStr">
        <is>
          <t>.</t>
        </is>
      </c>
      <c r="O129" t="inlineStr">
        <is>
          <t>.</t>
        </is>
      </c>
      <c r="P129" t="inlineStr">
        <is>
          <t>.</t>
        </is>
      </c>
      <c r="Q129" t="inlineStr">
        <is>
          <t>.</t>
        </is>
      </c>
      <c r="R129" t="inlineStr">
        <is>
          <t>.</t>
        </is>
      </c>
      <c r="S129" t="inlineStr">
        <is>
          <t>.</t>
        </is>
      </c>
      <c r="T129" t="inlineStr">
        <is>
          <t>.</t>
        </is>
      </c>
      <c r="U129" t="inlineStr">
        <is>
          <t>.</t>
        </is>
      </c>
      <c r="V129" t="n">
        <v>7860.9</v>
      </c>
      <c r="W129" t="n">
        <v>46054</v>
      </c>
      <c r="X129" t="n">
        <v>3830</v>
      </c>
      <c r="Y129">
        <f>IF(ISNUMBER($W129),$W129,0)</f>
        <v/>
      </c>
      <c r="Z129">
        <f>IF(ISNUMBER(SEARCH("Adjustment",$C129)),"excluded",IF($H129="Behind the Meter","excluded",IF(NOT(OR($E129="Bundled",$E129="Energy")),"excluded",IF(OR($H129="Retail Power Marketer",$H129="Community Choice Aggregator",$E129="Energy"),"procurement",IF(OR($H129="Municipal",$H129="Cooperative",$H129="Federal",$H129="State",$H129="Political Subdivision"),"cost_service",IF($H129="Investor Owned",IF(AND(COUNTIF(Parameters!$A$4:$A$33,$G129)&gt;0,COUNTIF(Parameters!$B$4:$B$33,$B129)=0),"procurement","cost_service"),"unclassified"))))))</f>
        <v/>
      </c>
    </row>
    <row r="130">
      <c r="A130" t="n">
        <v>2024</v>
      </c>
      <c r="B130" t="n">
        <v>58956</v>
      </c>
      <c r="C130" t="inlineStr">
        <is>
          <t>SmartEnergy Holdings, LLC</t>
        </is>
      </c>
      <c r="D130" t="inlineStr">
        <is>
          <t>D</t>
        </is>
      </c>
      <c r="E130" t="inlineStr">
        <is>
          <t>Bundled</t>
        </is>
      </c>
      <c r="F130" t="inlineStr">
        <is>
          <t>O</t>
        </is>
      </c>
      <c r="G130" t="inlineStr">
        <is>
          <t>TX</t>
        </is>
      </c>
      <c r="H130" t="inlineStr">
        <is>
          <t>Retail Power Marketer</t>
        </is>
      </c>
      <c r="I130" t="inlineStr">
        <is>
          <t>ERCO</t>
        </is>
      </c>
      <c r="J130" t="n">
        <v>1095</v>
      </c>
      <c r="K130" t="n">
        <v>8791</v>
      </c>
      <c r="L130" t="n">
        <v>553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1095</v>
      </c>
      <c r="W130" t="n">
        <v>8791</v>
      </c>
      <c r="X130" t="n">
        <v>553</v>
      </c>
      <c r="Y130">
        <f>IF(ISNUMBER($W130),$W130,0)</f>
        <v/>
      </c>
      <c r="Z130">
        <f>IF(ISNUMBER(SEARCH("Adjustment",$C130)),"excluded",IF($H130="Behind the Meter","excluded",IF(NOT(OR($E130="Bundled",$E130="Energy")),"excluded",IF(OR($H130="Retail Power Marketer",$H130="Community Choice Aggregator",$E130="Energy"),"procurement",IF(OR($H130="Municipal",$H130="Cooperative",$H130="Federal",$H130="State",$H130="Political Subdivision"),"cost_service",IF($H130="Investor Owned",IF(AND(COUNTIF(Parameters!$A$4:$A$33,$G130)&gt;0,COUNTIF(Parameters!$B$4:$B$33,$B130)=0),"procurement","cost_service"),"unclassified"))))))</f>
        <v/>
      </c>
    </row>
    <row r="131">
      <c r="A131" t="n">
        <v>2024</v>
      </c>
      <c r="B131" t="n">
        <v>58963</v>
      </c>
      <c r="C131" t="inlineStr">
        <is>
          <t>Brooklet Energy Distribution</t>
        </is>
      </c>
      <c r="D131" t="inlineStr">
        <is>
          <t>D</t>
        </is>
      </c>
      <c r="E131" t="inlineStr">
        <is>
          <t>Bundled</t>
        </is>
      </c>
      <c r="F131" t="inlineStr">
        <is>
          <t>O</t>
        </is>
      </c>
      <c r="G131" t="inlineStr">
        <is>
          <t>TX</t>
        </is>
      </c>
      <c r="H131" t="inlineStr">
        <is>
          <t>Retail Power Marketer</t>
        </is>
      </c>
      <c r="I131" t="inlineStr">
        <is>
          <t>ERCO</t>
        </is>
      </c>
      <c r="J131" t="n">
        <v>20560</v>
      </c>
      <c r="K131" t="n">
        <v>164205</v>
      </c>
      <c r="L131" t="n">
        <v>14072</v>
      </c>
      <c r="M131" t="n">
        <v>177</v>
      </c>
      <c r="N131" t="n">
        <v>2309</v>
      </c>
      <c r="O131" t="n">
        <v>19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20737</v>
      </c>
      <c r="W131" t="n">
        <v>166514</v>
      </c>
      <c r="X131" t="n">
        <v>14091</v>
      </c>
      <c r="Y131">
        <f>IF(ISNUMBER($W131),$W131,0)</f>
        <v/>
      </c>
      <c r="Z131">
        <f>IF(ISNUMBER(SEARCH("Adjustment",$C131)),"excluded",IF($H131="Behind the Meter","excluded",IF(NOT(OR($E131="Bundled",$E131="Energy")),"excluded",IF(OR($H131="Retail Power Marketer",$H131="Community Choice Aggregator",$E131="Energy"),"procurement",IF(OR($H131="Municipal",$H131="Cooperative",$H131="Federal",$H131="State",$H131="Political Subdivision"),"cost_service",IF($H131="Investor Owned",IF(AND(COUNTIF(Parameters!$A$4:$A$33,$G131)&gt;0,COUNTIF(Parameters!$B$4:$B$33,$B131)=0),"procurement","cost_service"),"unclassified"))))))</f>
        <v/>
      </c>
    </row>
    <row r="132">
      <c r="A132" t="n">
        <v>2024</v>
      </c>
      <c r="B132" t="n">
        <v>59579</v>
      </c>
      <c r="C132" t="inlineStr">
        <is>
          <t>Sunnova</t>
        </is>
      </c>
      <c r="D132" t="inlineStr">
        <is>
          <t>A</t>
        </is>
      </c>
      <c r="E132" t="inlineStr">
        <is>
          <t>Bundled</t>
        </is>
      </c>
      <c r="F132" t="inlineStr">
        <is>
          <t>O</t>
        </is>
      </c>
      <c r="G132" t="inlineStr">
        <is>
          <t>TX</t>
        </is>
      </c>
      <c r="H132" t="inlineStr">
        <is>
          <t>Behind the Meter</t>
        </is>
      </c>
      <c r="I132" t="inlineStr">
        <is>
          <t>EPE</t>
        </is>
      </c>
      <c r="J132" t="n">
        <v>137.4</v>
      </c>
      <c r="K132" t="n">
        <v>792</v>
      </c>
      <c r="L132" t="n">
        <v>92</v>
      </c>
      <c r="M132" t="inlineStr">
        <is>
          <t>.</t>
        </is>
      </c>
      <c r="N132" t="inlineStr">
        <is>
          <t>.</t>
        </is>
      </c>
      <c r="O132" t="inlineStr">
        <is>
          <t>.</t>
        </is>
      </c>
      <c r="P132" t="inlineStr">
        <is>
          <t>.</t>
        </is>
      </c>
      <c r="Q132" t="inlineStr">
        <is>
          <t>.</t>
        </is>
      </c>
      <c r="R132" t="inlineStr">
        <is>
          <t>.</t>
        </is>
      </c>
      <c r="S132" t="inlineStr">
        <is>
          <t>.</t>
        </is>
      </c>
      <c r="T132" t="inlineStr">
        <is>
          <t>.</t>
        </is>
      </c>
      <c r="U132" t="inlineStr">
        <is>
          <t>.</t>
        </is>
      </c>
      <c r="V132" t="n">
        <v>137.4</v>
      </c>
      <c r="W132" t="n">
        <v>792</v>
      </c>
      <c r="X132" t="n">
        <v>92</v>
      </c>
      <c r="Y132">
        <f>IF(ISNUMBER($W132),$W132,0)</f>
        <v/>
      </c>
      <c r="Z132">
        <f>IF(ISNUMBER(SEARCH("Adjustment",$C132)),"excluded",IF($H132="Behind the Meter","excluded",IF(NOT(OR($E132="Bundled",$E132="Energy")),"excluded",IF(OR($H132="Retail Power Marketer",$H132="Community Choice Aggregator",$E132="Energy"),"procurement",IF(OR($H132="Municipal",$H132="Cooperative",$H132="Federal",$H132="State",$H132="Political Subdivision"),"cost_service",IF($H132="Investor Owned",IF(AND(COUNTIF(Parameters!$A$4:$A$33,$G132)&gt;0,COUNTIF(Parameters!$B$4:$B$33,$B132)=0),"procurement","cost_service"),"unclassified"))))))</f>
        <v/>
      </c>
    </row>
    <row r="133">
      <c r="A133" t="n">
        <v>2024</v>
      </c>
      <c r="B133" t="n">
        <v>59579</v>
      </c>
      <c r="C133" t="inlineStr">
        <is>
          <t>Sunnova</t>
        </is>
      </c>
      <c r="D133" t="inlineStr">
        <is>
          <t>A</t>
        </is>
      </c>
      <c r="E133" t="inlineStr">
        <is>
          <t>Bundled</t>
        </is>
      </c>
      <c r="F133" t="inlineStr">
        <is>
          <t>O</t>
        </is>
      </c>
      <c r="G133" t="inlineStr">
        <is>
          <t>TX</t>
        </is>
      </c>
      <c r="H133" t="inlineStr">
        <is>
          <t>Behind the Meter</t>
        </is>
      </c>
      <c r="I133" t="inlineStr">
        <is>
          <t>ERCO</t>
        </is>
      </c>
      <c r="J133" t="n">
        <v>8833.1</v>
      </c>
      <c r="K133" t="n">
        <v>50962</v>
      </c>
      <c r="L133" t="n">
        <v>5893</v>
      </c>
      <c r="M133" t="inlineStr">
        <is>
          <t>.</t>
        </is>
      </c>
      <c r="N133" t="inlineStr">
        <is>
          <t>.</t>
        </is>
      </c>
      <c r="O133" t="inlineStr">
        <is>
          <t>.</t>
        </is>
      </c>
      <c r="P133" t="inlineStr">
        <is>
          <t>.</t>
        </is>
      </c>
      <c r="Q133" t="inlineStr">
        <is>
          <t>.</t>
        </is>
      </c>
      <c r="R133" t="inlineStr">
        <is>
          <t>.</t>
        </is>
      </c>
      <c r="S133" t="inlineStr">
        <is>
          <t>.</t>
        </is>
      </c>
      <c r="T133" t="inlineStr">
        <is>
          <t>.</t>
        </is>
      </c>
      <c r="U133" t="inlineStr">
        <is>
          <t>.</t>
        </is>
      </c>
      <c r="V133" t="n">
        <v>8833.1</v>
      </c>
      <c r="W133" t="n">
        <v>50962</v>
      </c>
      <c r="X133" t="n">
        <v>5893</v>
      </c>
      <c r="Y133">
        <f>IF(ISNUMBER($W133),$W133,0)</f>
        <v/>
      </c>
      <c r="Z133">
        <f>IF(ISNUMBER(SEARCH("Adjustment",$C133)),"excluded",IF($H133="Behind the Meter","excluded",IF(NOT(OR($E133="Bundled",$E133="Energy")),"excluded",IF(OR($H133="Retail Power Marketer",$H133="Community Choice Aggregator",$E133="Energy"),"procurement",IF(OR($H133="Municipal",$H133="Cooperative",$H133="Federal",$H133="State",$H133="Political Subdivision"),"cost_service",IF($H133="Investor Owned",IF(AND(COUNTIF(Parameters!$A$4:$A$33,$G133)&gt;0,COUNTIF(Parameters!$B$4:$B$33,$B133)=0),"procurement","cost_service"),"unclassified"))))))</f>
        <v/>
      </c>
    </row>
    <row r="134">
      <c r="A134" t="n">
        <v>2024</v>
      </c>
      <c r="B134" t="n">
        <v>59579</v>
      </c>
      <c r="C134" t="inlineStr">
        <is>
          <t>Sunnova</t>
        </is>
      </c>
      <c r="D134" t="inlineStr">
        <is>
          <t>A</t>
        </is>
      </c>
      <c r="E134" t="inlineStr">
        <is>
          <t>Bundled</t>
        </is>
      </c>
      <c r="F134" t="inlineStr">
        <is>
          <t>O</t>
        </is>
      </c>
      <c r="G134" t="inlineStr">
        <is>
          <t>TX</t>
        </is>
      </c>
      <c r="H134" t="inlineStr">
        <is>
          <t>Behind the Meter</t>
        </is>
      </c>
      <c r="I134" t="inlineStr">
        <is>
          <t>MISO</t>
        </is>
      </c>
      <c r="J134" t="n">
        <v>108.8</v>
      </c>
      <c r="K134" t="n">
        <v>628</v>
      </c>
      <c r="L134" t="n">
        <v>73</v>
      </c>
      <c r="M134" t="inlineStr">
        <is>
          <t>.</t>
        </is>
      </c>
      <c r="N134" t="inlineStr">
        <is>
          <t>.</t>
        </is>
      </c>
      <c r="O134" t="inlineStr">
        <is>
          <t>.</t>
        </is>
      </c>
      <c r="P134" t="inlineStr">
        <is>
          <t>.</t>
        </is>
      </c>
      <c r="Q134" t="inlineStr">
        <is>
          <t>.</t>
        </is>
      </c>
      <c r="R134" t="inlineStr">
        <is>
          <t>.</t>
        </is>
      </c>
      <c r="S134" t="inlineStr">
        <is>
          <t>.</t>
        </is>
      </c>
      <c r="T134" t="inlineStr">
        <is>
          <t>.</t>
        </is>
      </c>
      <c r="U134" t="inlineStr">
        <is>
          <t>.</t>
        </is>
      </c>
      <c r="V134" t="n">
        <v>108.8</v>
      </c>
      <c r="W134" t="n">
        <v>628</v>
      </c>
      <c r="X134" t="n">
        <v>73</v>
      </c>
      <c r="Y134">
        <f>IF(ISNUMBER($W134),$W134,0)</f>
        <v/>
      </c>
      <c r="Z134">
        <f>IF(ISNUMBER(SEARCH("Adjustment",$C134)),"excluded",IF($H134="Behind the Meter","excluded",IF(NOT(OR($E134="Bundled",$E134="Energy")),"excluded",IF(OR($H134="Retail Power Marketer",$H134="Community Choice Aggregator",$E134="Energy"),"procurement",IF(OR($H134="Municipal",$H134="Cooperative",$H134="Federal",$H134="State",$H134="Political Subdivision"),"cost_service",IF($H134="Investor Owned",IF(AND(COUNTIF(Parameters!$A$4:$A$33,$G134)&gt;0,COUNTIF(Parameters!$B$4:$B$33,$B134)=0),"procurement","cost_service"),"unclassified"))))))</f>
        <v/>
      </c>
    </row>
    <row r="135">
      <c r="A135" t="n">
        <v>2024</v>
      </c>
      <c r="B135" t="n">
        <v>59579</v>
      </c>
      <c r="C135" t="inlineStr">
        <is>
          <t>Sunnova</t>
        </is>
      </c>
      <c r="D135" t="inlineStr">
        <is>
          <t>A</t>
        </is>
      </c>
      <c r="E135" t="inlineStr">
        <is>
          <t>Bundled</t>
        </is>
      </c>
      <c r="F135" t="inlineStr">
        <is>
          <t>O</t>
        </is>
      </c>
      <c r="G135" t="inlineStr">
        <is>
          <t>TX</t>
        </is>
      </c>
      <c r="H135" t="inlineStr">
        <is>
          <t>Behind the Meter</t>
        </is>
      </c>
      <c r="I135" t="inlineStr">
        <is>
          <t>SWPP</t>
        </is>
      </c>
      <c r="J135" t="n">
        <v>399.8</v>
      </c>
      <c r="K135" t="n">
        <v>2306</v>
      </c>
      <c r="L135" t="n">
        <v>267</v>
      </c>
      <c r="M135" t="inlineStr">
        <is>
          <t>.</t>
        </is>
      </c>
      <c r="N135" t="inlineStr">
        <is>
          <t>.</t>
        </is>
      </c>
      <c r="O135" t="inlineStr">
        <is>
          <t>.</t>
        </is>
      </c>
      <c r="P135" t="inlineStr">
        <is>
          <t>.</t>
        </is>
      </c>
      <c r="Q135" t="inlineStr">
        <is>
          <t>.</t>
        </is>
      </c>
      <c r="R135" t="inlineStr">
        <is>
          <t>.</t>
        </is>
      </c>
      <c r="S135" t="inlineStr">
        <is>
          <t>.</t>
        </is>
      </c>
      <c r="T135" t="inlineStr">
        <is>
          <t>.</t>
        </is>
      </c>
      <c r="U135" t="inlineStr">
        <is>
          <t>.</t>
        </is>
      </c>
      <c r="V135" t="n">
        <v>399.8</v>
      </c>
      <c r="W135" t="n">
        <v>2306</v>
      </c>
      <c r="X135" t="n">
        <v>267</v>
      </c>
      <c r="Y135">
        <f>IF(ISNUMBER($W135),$W135,0)</f>
        <v/>
      </c>
      <c r="Z135">
        <f>IF(ISNUMBER(SEARCH("Adjustment",$C135)),"excluded",IF($H135="Behind the Meter","excluded",IF(NOT(OR($E135="Bundled",$E135="Energy")),"excluded",IF(OR($H135="Retail Power Marketer",$H135="Community Choice Aggregator",$E135="Energy"),"procurement",IF(OR($H135="Municipal",$H135="Cooperative",$H135="Federal",$H135="State",$H135="Political Subdivision"),"cost_service",IF($H135="Investor Owned",IF(AND(COUNTIF(Parameters!$A$4:$A$33,$G135)&gt;0,COUNTIF(Parameters!$B$4:$B$33,$B135)=0),"procurement","cost_service"),"unclassified"))))))</f>
        <v/>
      </c>
    </row>
    <row r="136">
      <c r="A136" t="n">
        <v>2024</v>
      </c>
      <c r="B136" t="n">
        <v>59647</v>
      </c>
      <c r="C136" t="inlineStr">
        <is>
          <t>Sunrun Inc.</t>
        </is>
      </c>
      <c r="D136" t="inlineStr">
        <is>
          <t>A</t>
        </is>
      </c>
      <c r="E136" t="inlineStr">
        <is>
          <t>Bundled</t>
        </is>
      </c>
      <c r="F136" t="inlineStr">
        <is>
          <t>O</t>
        </is>
      </c>
      <c r="G136" t="inlineStr">
        <is>
          <t>TX</t>
        </is>
      </c>
      <c r="H136" t="inlineStr">
        <is>
          <t>Behind the Meter</t>
        </is>
      </c>
      <c r="I136" t="inlineStr">
        <is>
          <t>ERCO</t>
        </is>
      </c>
      <c r="J136" t="n">
        <v>22119.8</v>
      </c>
      <c r="K136" t="n">
        <v>98808</v>
      </c>
      <c r="L136" t="n">
        <v>9318</v>
      </c>
      <c r="M136" t="inlineStr">
        <is>
          <t>.</t>
        </is>
      </c>
      <c r="N136" t="inlineStr">
        <is>
          <t>.</t>
        </is>
      </c>
      <c r="O136" t="inlineStr">
        <is>
          <t>.</t>
        </is>
      </c>
      <c r="P136" t="inlineStr">
        <is>
          <t>.</t>
        </is>
      </c>
      <c r="Q136" t="inlineStr">
        <is>
          <t>.</t>
        </is>
      </c>
      <c r="R136" t="inlineStr">
        <is>
          <t>.</t>
        </is>
      </c>
      <c r="S136" t="inlineStr">
        <is>
          <t>.</t>
        </is>
      </c>
      <c r="T136" t="inlineStr">
        <is>
          <t>.</t>
        </is>
      </c>
      <c r="U136" t="inlineStr">
        <is>
          <t>.</t>
        </is>
      </c>
      <c r="V136" t="n">
        <v>22119.8</v>
      </c>
      <c r="W136" t="n">
        <v>98808</v>
      </c>
      <c r="X136" t="n">
        <v>9318</v>
      </c>
      <c r="Y136">
        <f>IF(ISNUMBER($W136),$W136,0)</f>
        <v/>
      </c>
      <c r="Z136">
        <f>IF(ISNUMBER(SEARCH("Adjustment",$C136)),"excluded",IF($H136="Behind the Meter","excluded",IF(NOT(OR($E136="Bundled",$E136="Energy")),"excluded",IF(OR($H136="Retail Power Marketer",$H136="Community Choice Aggregator",$E136="Energy"),"procurement",IF(OR($H136="Municipal",$H136="Cooperative",$H136="Federal",$H136="State",$H136="Political Subdivision"),"cost_service",IF($H136="Investor Owned",IF(AND(COUNTIF(Parameters!$A$4:$A$33,$G136)&gt;0,COUNTIF(Parameters!$B$4:$B$33,$B136)=0),"procurement","cost_service"),"unclassified"))))))</f>
        <v/>
      </c>
    </row>
    <row r="137">
      <c r="A137" t="n">
        <v>2024</v>
      </c>
      <c r="B137" t="n">
        <v>59808</v>
      </c>
      <c r="C137" t="inlineStr">
        <is>
          <t>MP2 Energy LLC</t>
        </is>
      </c>
      <c r="D137" t="inlineStr">
        <is>
          <t>D</t>
        </is>
      </c>
      <c r="E137" t="inlineStr">
        <is>
          <t>Bundled</t>
        </is>
      </c>
      <c r="F137" t="inlineStr">
        <is>
          <t>O</t>
        </is>
      </c>
      <c r="G137" t="inlineStr">
        <is>
          <t>TX</t>
        </is>
      </c>
      <c r="H137" t="inlineStr">
        <is>
          <t>Retail Power Marketer</t>
        </is>
      </c>
      <c r="I137" t="inlineStr">
        <is>
          <t>ERCO</t>
        </is>
      </c>
      <c r="J137" t="n">
        <v>84673.89999999999</v>
      </c>
      <c r="K137" t="n">
        <v>578090</v>
      </c>
      <c r="L137" t="n">
        <v>39395</v>
      </c>
      <c r="M137" t="n">
        <v>847934.3</v>
      </c>
      <c r="N137" t="n">
        <v>12203130</v>
      </c>
      <c r="O137" t="n">
        <v>33961</v>
      </c>
      <c r="P137" t="n">
        <v>261812.7</v>
      </c>
      <c r="Q137" t="n">
        <v>6823040</v>
      </c>
      <c r="R137" t="n">
        <v>1627</v>
      </c>
      <c r="S137" t="n">
        <v>0</v>
      </c>
      <c r="T137" t="n">
        <v>0</v>
      </c>
      <c r="U137" t="n">
        <v>0</v>
      </c>
      <c r="V137" t="n">
        <v>1194420.9</v>
      </c>
      <c r="W137" t="n">
        <v>19604260</v>
      </c>
      <c r="X137" t="n">
        <v>74983</v>
      </c>
      <c r="Y137">
        <f>IF(ISNUMBER($W137),$W137,0)</f>
        <v/>
      </c>
      <c r="Z137">
        <f>IF(ISNUMBER(SEARCH("Adjustment",$C137)),"excluded",IF($H137="Behind the Meter","excluded",IF(NOT(OR($E137="Bundled",$E137="Energy")),"excluded",IF(OR($H137="Retail Power Marketer",$H137="Community Choice Aggregator",$E137="Energy"),"procurement",IF(OR($H137="Municipal",$H137="Cooperative",$H137="Federal",$H137="State",$H137="Political Subdivision"),"cost_service",IF($H137="Investor Owned",IF(AND(COUNTIF(Parameters!$A$4:$A$33,$G137)&gt;0,COUNTIF(Parameters!$B$4:$B$33,$B137)=0),"procurement","cost_service"),"unclassified"))))))</f>
        <v/>
      </c>
    </row>
    <row r="138">
      <c r="A138" t="n">
        <v>2024</v>
      </c>
      <c r="B138" t="n">
        <v>59931</v>
      </c>
      <c r="C138" t="inlineStr">
        <is>
          <t>MidAmerican Energy Services, LLC</t>
        </is>
      </c>
      <c r="D138" t="inlineStr">
        <is>
          <t>D</t>
        </is>
      </c>
      <c r="E138" t="inlineStr">
        <is>
          <t>Bundled</t>
        </is>
      </c>
      <c r="F138" t="inlineStr">
        <is>
          <t>O</t>
        </is>
      </c>
      <c r="G138" t="inlineStr">
        <is>
          <t>TX</t>
        </is>
      </c>
      <c r="H138" t="inlineStr">
        <is>
          <t>Retail Power Marketer</t>
        </is>
      </c>
      <c r="I138" t="inlineStr">
        <is>
          <t>ERCO</t>
        </is>
      </c>
      <c r="J138" t="n">
        <v>4024.9</v>
      </c>
      <c r="K138" t="n">
        <v>30215</v>
      </c>
      <c r="L138" t="n">
        <v>2167</v>
      </c>
      <c r="M138" t="n">
        <v>62872.5</v>
      </c>
      <c r="N138" t="n">
        <v>724263</v>
      </c>
      <c r="O138" t="n">
        <v>4697</v>
      </c>
      <c r="P138" t="n">
        <v>35031.2</v>
      </c>
      <c r="Q138" t="n">
        <v>591581</v>
      </c>
      <c r="R138" t="n">
        <v>102</v>
      </c>
      <c r="S138" t="n">
        <v>0</v>
      </c>
      <c r="T138" t="n">
        <v>0</v>
      </c>
      <c r="U138" t="n">
        <v>0</v>
      </c>
      <c r="V138" t="n">
        <v>101928.6</v>
      </c>
      <c r="W138" t="n">
        <v>1346059</v>
      </c>
      <c r="X138" t="n">
        <v>6966</v>
      </c>
      <c r="Y138">
        <f>IF(ISNUMBER($W138),$W138,0)</f>
        <v/>
      </c>
      <c r="Z138">
        <f>IF(ISNUMBER(SEARCH("Adjustment",$C138)),"excluded",IF($H138="Behind the Meter","excluded",IF(NOT(OR($E138="Bundled",$E138="Energy")),"excluded",IF(OR($H138="Retail Power Marketer",$H138="Community Choice Aggregator",$E138="Energy"),"procurement",IF(OR($H138="Municipal",$H138="Cooperative",$H138="Federal",$H138="State",$H138="Political Subdivision"),"cost_service",IF($H138="Investor Owned",IF(AND(COUNTIF(Parameters!$A$4:$A$33,$G138)&gt;0,COUNTIF(Parameters!$B$4:$B$33,$B138)=0),"procurement","cost_service"),"unclassified"))))))</f>
        <v/>
      </c>
    </row>
    <row r="139">
      <c r="A139" t="n">
        <v>2024</v>
      </c>
      <c r="B139" t="n">
        <v>60202</v>
      </c>
      <c r="C139" t="inlineStr">
        <is>
          <t>Electranet Power LLC</t>
        </is>
      </c>
      <c r="D139" t="inlineStr">
        <is>
          <t>D</t>
        </is>
      </c>
      <c r="E139" t="inlineStr">
        <is>
          <t>Bundled</t>
        </is>
      </c>
      <c r="F139" t="inlineStr">
        <is>
          <t>O</t>
        </is>
      </c>
      <c r="G139" t="inlineStr">
        <is>
          <t>TX</t>
        </is>
      </c>
      <c r="H139" t="inlineStr">
        <is>
          <t>Retail Power Marketer</t>
        </is>
      </c>
      <c r="I139" t="inlineStr">
        <is>
          <t>ERCO</t>
        </is>
      </c>
      <c r="J139" t="inlineStr">
        <is>
          <t>.</t>
        </is>
      </c>
      <c r="K139" t="inlineStr">
        <is>
          <t>.</t>
        </is>
      </c>
      <c r="L139" t="inlineStr">
        <is>
          <t>.</t>
        </is>
      </c>
      <c r="M139" t="inlineStr">
        <is>
          <t>.</t>
        </is>
      </c>
      <c r="N139" t="inlineStr">
        <is>
          <t>.</t>
        </is>
      </c>
      <c r="O139" t="inlineStr">
        <is>
          <t>.</t>
        </is>
      </c>
      <c r="P139" t="n">
        <v>91.90000000000001</v>
      </c>
      <c r="Q139" t="n">
        <v>3307</v>
      </c>
      <c r="R139" t="n">
        <v>29</v>
      </c>
      <c r="S139" t="inlineStr">
        <is>
          <t>.</t>
        </is>
      </c>
      <c r="T139" t="inlineStr">
        <is>
          <t>.</t>
        </is>
      </c>
      <c r="U139" t="inlineStr">
        <is>
          <t>.</t>
        </is>
      </c>
      <c r="V139" t="n">
        <v>91.90000000000001</v>
      </c>
      <c r="W139" t="n">
        <v>3307</v>
      </c>
      <c r="X139" t="n">
        <v>29</v>
      </c>
      <c r="Y139">
        <f>IF(ISNUMBER($W139),$W139,0)</f>
        <v/>
      </c>
      <c r="Z139">
        <f>IF(ISNUMBER(SEARCH("Adjustment",$C139)),"excluded",IF($H139="Behind the Meter","excluded",IF(NOT(OR($E139="Bundled",$E139="Energy")),"excluded",IF(OR($H139="Retail Power Marketer",$H139="Community Choice Aggregator",$E139="Energy"),"procurement",IF(OR($H139="Municipal",$H139="Cooperative",$H139="Federal",$H139="State",$H139="Political Subdivision"),"cost_service",IF($H139="Investor Owned",IF(AND(COUNTIF(Parameters!$A$4:$A$33,$G139)&gt;0,COUNTIF(Parameters!$B$4:$B$33,$B139)=0),"procurement","cost_service"),"unclassified"))))))</f>
        <v/>
      </c>
    </row>
    <row r="140">
      <c r="A140" t="n">
        <v>2024</v>
      </c>
      <c r="B140" t="n">
        <v>60583</v>
      </c>
      <c r="C140" t="inlineStr">
        <is>
          <t>Atlantic Energy LLC</t>
        </is>
      </c>
      <c r="D140" t="inlineStr">
        <is>
          <t>D</t>
        </is>
      </c>
      <c r="E140" t="inlineStr">
        <is>
          <t>Bundled</t>
        </is>
      </c>
      <c r="F140" t="inlineStr">
        <is>
          <t>O</t>
        </is>
      </c>
      <c r="G140" t="inlineStr">
        <is>
          <t>TX</t>
        </is>
      </c>
      <c r="H140" t="inlineStr">
        <is>
          <t>Retail Power Marketer</t>
        </is>
      </c>
      <c r="I140" t="inlineStr">
        <is>
          <t>ERCO</t>
        </is>
      </c>
      <c r="J140" t="n">
        <v>953.2</v>
      </c>
      <c r="K140" t="n">
        <v>7224</v>
      </c>
      <c r="L140" t="n">
        <v>774</v>
      </c>
      <c r="M140" t="n">
        <v>51.3</v>
      </c>
      <c r="N140" t="n">
        <v>405</v>
      </c>
      <c r="O140" t="n">
        <v>53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1004.5</v>
      </c>
      <c r="W140" t="n">
        <v>7629</v>
      </c>
      <c r="X140" t="n">
        <v>827</v>
      </c>
      <c r="Y140">
        <f>IF(ISNUMBER($W140),$W140,0)</f>
        <v/>
      </c>
      <c r="Z140">
        <f>IF(ISNUMBER(SEARCH("Adjustment",$C140)),"excluded",IF($H140="Behind the Meter","excluded",IF(NOT(OR($E140="Bundled",$E140="Energy")),"excluded",IF(OR($H140="Retail Power Marketer",$H140="Community Choice Aggregator",$E140="Energy"),"procurement",IF(OR($H140="Municipal",$H140="Cooperative",$H140="Federal",$H140="State",$H140="Political Subdivision"),"cost_service",IF($H140="Investor Owned",IF(AND(COUNTIF(Parameters!$A$4:$A$33,$G140)&gt;0,COUNTIF(Parameters!$B$4:$B$33,$B140)=0),"procurement","cost_service"),"unclassified"))))))</f>
        <v/>
      </c>
    </row>
    <row r="141">
      <c r="A141" t="n">
        <v>2024</v>
      </c>
      <c r="B141" t="n">
        <v>60981</v>
      </c>
      <c r="C141" t="inlineStr">
        <is>
          <t>TerraForm US Energy Services, LLC</t>
        </is>
      </c>
      <c r="D141" t="inlineStr">
        <is>
          <t>A</t>
        </is>
      </c>
      <c r="E141" t="inlineStr">
        <is>
          <t>Bundled</t>
        </is>
      </c>
      <c r="F141" t="inlineStr">
        <is>
          <t>O</t>
        </is>
      </c>
      <c r="G141" t="inlineStr">
        <is>
          <t>TX</t>
        </is>
      </c>
      <c r="H141" t="inlineStr">
        <is>
          <t>Behind the Meter</t>
        </is>
      </c>
      <c r="I141" t="inlineStr">
        <is>
          <t>ERCO</t>
        </is>
      </c>
      <c r="J141" t="n">
        <v>0</v>
      </c>
      <c r="K141" t="n">
        <v>0</v>
      </c>
      <c r="L141" t="n">
        <v>0</v>
      </c>
      <c r="M141" t="n">
        <v>67</v>
      </c>
      <c r="N141" t="n">
        <v>991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67</v>
      </c>
      <c r="W141" t="n">
        <v>991</v>
      </c>
      <c r="X141" t="n">
        <v>2</v>
      </c>
      <c r="Y141">
        <f>IF(ISNUMBER($W141),$W141,0)</f>
        <v/>
      </c>
      <c r="Z141">
        <f>IF(ISNUMBER(SEARCH("Adjustment",$C141)),"excluded",IF($H141="Behind the Meter","excluded",IF(NOT(OR($E141="Bundled",$E141="Energy")),"excluded",IF(OR($H141="Retail Power Marketer",$H141="Community Choice Aggregator",$E141="Energy"),"procurement",IF(OR($H141="Municipal",$H141="Cooperative",$H141="Federal",$H141="State",$H141="Political Subdivision"),"cost_service",IF($H141="Investor Owned",IF(AND(COUNTIF(Parameters!$A$4:$A$33,$G141)&gt;0,COUNTIF(Parameters!$B$4:$B$33,$B141)=0),"procurement","cost_service"),"unclassified"))))))</f>
        <v/>
      </c>
    </row>
    <row r="142">
      <c r="A142" t="n">
        <v>2024</v>
      </c>
      <c r="B142" t="n">
        <v>61131</v>
      </c>
      <c r="C142" t="inlineStr">
        <is>
          <t>Freepoint Energy Solutions LLC</t>
        </is>
      </c>
      <c r="D142" t="inlineStr">
        <is>
          <t>D</t>
        </is>
      </c>
      <c r="E142" t="inlineStr">
        <is>
          <t>Bundled</t>
        </is>
      </c>
      <c r="F142" t="inlineStr">
        <is>
          <t>O</t>
        </is>
      </c>
      <c r="G142" t="inlineStr">
        <is>
          <t>TX</t>
        </is>
      </c>
      <c r="H142" t="inlineStr">
        <is>
          <t>Retail Power Marketer</t>
        </is>
      </c>
      <c r="I142" t="inlineStr">
        <is>
          <t>ERCO</t>
        </is>
      </c>
      <c r="J142" t="n">
        <v>0</v>
      </c>
      <c r="K142" t="n">
        <v>0</v>
      </c>
      <c r="L142" t="n">
        <v>0</v>
      </c>
      <c r="M142" t="n">
        <v>188807</v>
      </c>
      <c r="N142" t="n">
        <v>1787843</v>
      </c>
      <c r="O142" t="n">
        <v>2474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188807</v>
      </c>
      <c r="W142" t="n">
        <v>1787843</v>
      </c>
      <c r="X142" t="n">
        <v>2474</v>
      </c>
      <c r="Y142">
        <f>IF(ISNUMBER($W142),$W142,0)</f>
        <v/>
      </c>
      <c r="Z142">
        <f>IF(ISNUMBER(SEARCH("Adjustment",$C142)),"excluded",IF($H142="Behind the Meter","excluded",IF(NOT(OR($E142="Bundled",$E142="Energy")),"excluded",IF(OR($H142="Retail Power Marketer",$H142="Community Choice Aggregator",$E142="Energy"),"procurement",IF(OR($H142="Municipal",$H142="Cooperative",$H142="Federal",$H142="State",$H142="Political Subdivision"),"cost_service",IF($H142="Investor Owned",IF(AND(COUNTIF(Parameters!$A$4:$A$33,$G142)&gt;0,COUNTIF(Parameters!$B$4:$B$33,$B142)=0),"procurement","cost_service"),"unclassified"))))))</f>
        <v/>
      </c>
    </row>
    <row r="143">
      <c r="A143" t="n">
        <v>2024</v>
      </c>
      <c r="B143" t="n">
        <v>61206</v>
      </c>
      <c r="C143" t="inlineStr">
        <is>
          <t>Total Gas &amp; Power North America Inc</t>
        </is>
      </c>
      <c r="D143" t="inlineStr">
        <is>
          <t>D</t>
        </is>
      </c>
      <c r="E143" t="inlineStr">
        <is>
          <t>Bundled</t>
        </is>
      </c>
      <c r="F143" t="inlineStr">
        <is>
          <t>O</t>
        </is>
      </c>
      <c r="G143" t="inlineStr">
        <is>
          <t>TX</t>
        </is>
      </c>
      <c r="H143" t="inlineStr">
        <is>
          <t>Retail Power Marketer</t>
        </is>
      </c>
      <c r="I143" t="inlineStr">
        <is>
          <t>ERCO</t>
        </is>
      </c>
      <c r="J143" t="n">
        <v>0</v>
      </c>
      <c r="K143" t="n">
        <v>0</v>
      </c>
      <c r="L143" t="n">
        <v>0</v>
      </c>
      <c r="M143" t="n">
        <v>5943.5</v>
      </c>
      <c r="N143" t="n">
        <v>156259</v>
      </c>
      <c r="O143" t="n">
        <v>5</v>
      </c>
      <c r="P143" t="n">
        <v>45135.5</v>
      </c>
      <c r="Q143" t="n">
        <v>803035</v>
      </c>
      <c r="R143" t="n">
        <v>6</v>
      </c>
      <c r="S143" t="n">
        <v>0</v>
      </c>
      <c r="T143" t="n">
        <v>0</v>
      </c>
      <c r="U143" t="n">
        <v>0</v>
      </c>
      <c r="V143" t="n">
        <v>51079</v>
      </c>
      <c r="W143" t="n">
        <v>959294</v>
      </c>
      <c r="X143" t="n">
        <v>11</v>
      </c>
      <c r="Y143">
        <f>IF(ISNUMBER($W143),$W143,0)</f>
        <v/>
      </c>
      <c r="Z143">
        <f>IF(ISNUMBER(SEARCH("Adjustment",$C143)),"excluded",IF($H143="Behind the Meter","excluded",IF(NOT(OR($E143="Bundled",$E143="Energy")),"excluded",IF(OR($H143="Retail Power Marketer",$H143="Community Choice Aggregator",$E143="Energy"),"procurement",IF(OR($H143="Municipal",$H143="Cooperative",$H143="Federal",$H143="State",$H143="Political Subdivision"),"cost_service",IF($H143="Investor Owned",IF(AND(COUNTIF(Parameters!$A$4:$A$33,$G143)&gt;0,COUNTIF(Parameters!$B$4:$B$33,$B143)=0),"procurement","cost_service"),"unclassified"))))))</f>
        <v/>
      </c>
    </row>
    <row r="144">
      <c r="A144" t="n">
        <v>2024</v>
      </c>
      <c r="B144" t="n">
        <v>61264</v>
      </c>
      <c r="C144" t="inlineStr">
        <is>
          <t>Heritage Power LLC</t>
        </is>
      </c>
      <c r="D144" t="inlineStr">
        <is>
          <t>D</t>
        </is>
      </c>
      <c r="E144" t="inlineStr">
        <is>
          <t>Bundled</t>
        </is>
      </c>
      <c r="F144" t="inlineStr">
        <is>
          <t>O</t>
        </is>
      </c>
      <c r="G144" t="inlineStr">
        <is>
          <t>TX</t>
        </is>
      </c>
      <c r="H144" t="inlineStr">
        <is>
          <t>Retail Power Marketer</t>
        </is>
      </c>
      <c r="I144" t="inlineStr">
        <is>
          <t>ERCO</t>
        </is>
      </c>
      <c r="J144" t="n">
        <v>6637.6</v>
      </c>
      <c r="K144" t="n">
        <v>45874</v>
      </c>
      <c r="L144" t="n">
        <v>3235</v>
      </c>
      <c r="M144" t="n">
        <v>4181.1</v>
      </c>
      <c r="N144" t="n">
        <v>32140</v>
      </c>
      <c r="O144" t="n">
        <v>742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10818.7</v>
      </c>
      <c r="W144" t="n">
        <v>78014</v>
      </c>
      <c r="X144" t="n">
        <v>3977</v>
      </c>
      <c r="Y144">
        <f>IF(ISNUMBER($W144),$W144,0)</f>
        <v/>
      </c>
      <c r="Z144">
        <f>IF(ISNUMBER(SEARCH("Adjustment",$C144)),"excluded",IF($H144="Behind the Meter","excluded",IF(NOT(OR($E144="Bundled",$E144="Energy")),"excluded",IF(OR($H144="Retail Power Marketer",$H144="Community Choice Aggregator",$E144="Energy"),"procurement",IF(OR($H144="Municipal",$H144="Cooperative",$H144="Federal",$H144="State",$H144="Political Subdivision"),"cost_service",IF($H144="Investor Owned",IF(AND(COUNTIF(Parameters!$A$4:$A$33,$G144)&gt;0,COUNTIF(Parameters!$B$4:$B$33,$B144)=0),"procurement","cost_service"),"unclassified"))))))</f>
        <v/>
      </c>
    </row>
    <row r="145">
      <c r="A145" t="n">
        <v>2024</v>
      </c>
      <c r="B145" t="n">
        <v>61265</v>
      </c>
      <c r="C145" t="inlineStr">
        <is>
          <t>Pogo Energy LLC</t>
        </is>
      </c>
      <c r="D145" t="inlineStr">
        <is>
          <t>D</t>
        </is>
      </c>
      <c r="E145" t="inlineStr">
        <is>
          <t>Bundled</t>
        </is>
      </c>
      <c r="F145" t="inlineStr">
        <is>
          <t>O</t>
        </is>
      </c>
      <c r="G145" t="inlineStr">
        <is>
          <t>TX</t>
        </is>
      </c>
      <c r="H145" t="inlineStr">
        <is>
          <t>Retail Power Marketer</t>
        </is>
      </c>
      <c r="I145" t="inlineStr">
        <is>
          <t>ERCO</t>
        </is>
      </c>
      <c r="J145" t="n">
        <v>24458.2</v>
      </c>
      <c r="K145" t="n">
        <v>144508</v>
      </c>
      <c r="L145" t="n">
        <v>11517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24458.2</v>
      </c>
      <c r="W145" t="n">
        <v>144508</v>
      </c>
      <c r="X145" t="n">
        <v>11517</v>
      </c>
      <c r="Y145">
        <f>IF(ISNUMBER($W145),$W145,0)</f>
        <v/>
      </c>
      <c r="Z145">
        <f>IF(ISNUMBER(SEARCH("Adjustment",$C145)),"excluded",IF($H145="Behind the Meter","excluded",IF(NOT(OR($E145="Bundled",$E145="Energy")),"excluded",IF(OR($H145="Retail Power Marketer",$H145="Community Choice Aggregator",$E145="Energy"),"procurement",IF(OR($H145="Municipal",$H145="Cooperative",$H145="Federal",$H145="State",$H145="Political Subdivision"),"cost_service",IF($H145="Investor Owned",IF(AND(COUNTIF(Parameters!$A$4:$A$33,$G145)&gt;0,COUNTIF(Parameters!$B$4:$B$33,$B145)=0),"procurement","cost_service"),"unclassified"))))))</f>
        <v/>
      </c>
    </row>
    <row r="146">
      <c r="A146" t="n">
        <v>2024</v>
      </c>
      <c r="B146" t="n">
        <v>61855</v>
      </c>
      <c r="C146" t="inlineStr">
        <is>
          <t>Pulse Power, LLC</t>
        </is>
      </c>
      <c r="D146" t="inlineStr">
        <is>
          <t>D</t>
        </is>
      </c>
      <c r="E146" t="inlineStr">
        <is>
          <t>Bundled</t>
        </is>
      </c>
      <c r="F146" t="inlineStr">
        <is>
          <t>O</t>
        </is>
      </c>
      <c r="G146" t="inlineStr">
        <is>
          <t>TX</t>
        </is>
      </c>
      <c r="H146" t="inlineStr">
        <is>
          <t>Retail Power Marketer</t>
        </is>
      </c>
      <c r="I146" t="inlineStr">
        <is>
          <t>ERCO</t>
        </is>
      </c>
      <c r="J146" t="n">
        <v>220914.2</v>
      </c>
      <c r="K146" t="n">
        <v>1499845</v>
      </c>
      <c r="L146" t="n">
        <v>101940</v>
      </c>
      <c r="M146" t="n">
        <v>17247.1</v>
      </c>
      <c r="N146" t="n">
        <v>122235</v>
      </c>
      <c r="O146" t="n">
        <v>6024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238161.3</v>
      </c>
      <c r="W146" t="n">
        <v>1622080</v>
      </c>
      <c r="X146" t="n">
        <v>107964</v>
      </c>
      <c r="Y146">
        <f>IF(ISNUMBER($W146),$W146,0)</f>
        <v/>
      </c>
      <c r="Z146">
        <f>IF(ISNUMBER(SEARCH("Adjustment",$C146)),"excluded",IF($H146="Behind the Meter","excluded",IF(NOT(OR($E146="Bundled",$E146="Energy")),"excluded",IF(OR($H146="Retail Power Marketer",$H146="Community Choice Aggregator",$E146="Energy"),"procurement",IF(OR($H146="Municipal",$H146="Cooperative",$H146="Federal",$H146="State",$H146="Political Subdivision"),"cost_service",IF($H146="Investor Owned",IF(AND(COUNTIF(Parameters!$A$4:$A$33,$G146)&gt;0,COUNTIF(Parameters!$B$4:$B$33,$B146)=0),"procurement","cost_service"),"unclassified"))))))</f>
        <v/>
      </c>
    </row>
    <row r="147">
      <c r="A147" t="n">
        <v>2024</v>
      </c>
      <c r="B147" t="n">
        <v>62117</v>
      </c>
      <c r="C147" t="inlineStr">
        <is>
          <t>SFE Energy Texas, Inc.</t>
        </is>
      </c>
      <c r="D147" t="inlineStr">
        <is>
          <t>D</t>
        </is>
      </c>
      <c r="E147" t="inlineStr">
        <is>
          <t>Bundled</t>
        </is>
      </c>
      <c r="F147" t="inlineStr">
        <is>
          <t>O</t>
        </is>
      </c>
      <c r="G147" t="inlineStr">
        <is>
          <t>TX</t>
        </is>
      </c>
      <c r="H147" t="inlineStr">
        <is>
          <t>Retail Power Marketer</t>
        </is>
      </c>
      <c r="I147" t="inlineStr">
        <is>
          <t>ERCO</t>
        </is>
      </c>
      <c r="J147" t="inlineStr">
        <is>
          <t>.</t>
        </is>
      </c>
      <c r="K147" t="inlineStr">
        <is>
          <t>.</t>
        </is>
      </c>
      <c r="L147" t="inlineStr">
        <is>
          <t>.</t>
        </is>
      </c>
      <c r="M147" t="n">
        <v>4379.5</v>
      </c>
      <c r="N147" t="n">
        <v>34725</v>
      </c>
      <c r="O147" t="n">
        <v>661</v>
      </c>
      <c r="P147" t="inlineStr">
        <is>
          <t>.</t>
        </is>
      </c>
      <c r="Q147" t="inlineStr">
        <is>
          <t>.</t>
        </is>
      </c>
      <c r="R147" t="inlineStr">
        <is>
          <t>.</t>
        </is>
      </c>
      <c r="S147" t="inlineStr">
        <is>
          <t>.</t>
        </is>
      </c>
      <c r="T147" t="inlineStr">
        <is>
          <t>.</t>
        </is>
      </c>
      <c r="U147" t="inlineStr">
        <is>
          <t>.</t>
        </is>
      </c>
      <c r="V147" t="n">
        <v>4379.5</v>
      </c>
      <c r="W147" t="n">
        <v>34725</v>
      </c>
      <c r="X147" t="n">
        <v>661</v>
      </c>
      <c r="Y147">
        <f>IF(ISNUMBER($W147),$W147,0)</f>
        <v/>
      </c>
      <c r="Z147">
        <f>IF(ISNUMBER(SEARCH("Adjustment",$C147)),"excluded",IF($H147="Behind the Meter","excluded",IF(NOT(OR($E147="Bundled",$E147="Energy")),"excluded",IF(OR($H147="Retail Power Marketer",$H147="Community Choice Aggregator",$E147="Energy"),"procurement",IF(OR($H147="Municipal",$H147="Cooperative",$H147="Federal",$H147="State",$H147="Political Subdivision"),"cost_service",IF($H147="Investor Owned",IF(AND(COUNTIF(Parameters!$A$4:$A$33,$G147)&gt;0,COUNTIF(Parameters!$B$4:$B$33,$B147)=0),"procurement","cost_service"),"unclassified"))))))</f>
        <v/>
      </c>
    </row>
    <row r="148">
      <c r="A148" t="n">
        <v>2024</v>
      </c>
      <c r="B148" t="n">
        <v>62862</v>
      </c>
      <c r="C148" t="inlineStr">
        <is>
          <t>Chariot Energy</t>
        </is>
      </c>
      <c r="D148" t="inlineStr">
        <is>
          <t>D</t>
        </is>
      </c>
      <c r="E148" t="inlineStr">
        <is>
          <t>Bundled</t>
        </is>
      </c>
      <c r="F148" t="inlineStr">
        <is>
          <t>O</t>
        </is>
      </c>
      <c r="G148" t="inlineStr">
        <is>
          <t>TX</t>
        </is>
      </c>
      <c r="H148" t="inlineStr">
        <is>
          <t>Retail Power Marketer</t>
        </is>
      </c>
      <c r="I148" t="inlineStr">
        <is>
          <t>ERCO</t>
        </is>
      </c>
      <c r="J148" t="n">
        <v>74506.3</v>
      </c>
      <c r="K148" t="n">
        <v>451677</v>
      </c>
      <c r="L148" t="n">
        <v>31360</v>
      </c>
      <c r="M148" t="n">
        <v>14819.3</v>
      </c>
      <c r="N148" t="n">
        <v>87637</v>
      </c>
      <c r="O148" t="n">
        <v>1392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89325.60000000001</v>
      </c>
      <c r="W148" t="n">
        <v>539314</v>
      </c>
      <c r="X148" t="n">
        <v>32752</v>
      </c>
      <c r="Y148">
        <f>IF(ISNUMBER($W148),$W148,0)</f>
        <v/>
      </c>
      <c r="Z148">
        <f>IF(ISNUMBER(SEARCH("Adjustment",$C148)),"excluded",IF($H148="Behind the Meter","excluded",IF(NOT(OR($E148="Bundled",$E148="Energy")),"excluded",IF(OR($H148="Retail Power Marketer",$H148="Community Choice Aggregator",$E148="Energy"),"procurement",IF(OR($H148="Municipal",$H148="Cooperative",$H148="Federal",$H148="State",$H148="Political Subdivision"),"cost_service",IF($H148="Investor Owned",IF(AND(COUNTIF(Parameters!$A$4:$A$33,$G148)&gt;0,COUNTIF(Parameters!$B$4:$B$33,$B148)=0),"procurement","cost_service"),"unclassified"))))))</f>
        <v/>
      </c>
    </row>
    <row r="149">
      <c r="A149" t="n">
        <v>2024</v>
      </c>
      <c r="B149" t="n">
        <v>62952</v>
      </c>
      <c r="C149" t="inlineStr">
        <is>
          <t>Southern Federal Power, LLC</t>
        </is>
      </c>
      <c r="D149" t="inlineStr">
        <is>
          <t>D</t>
        </is>
      </c>
      <c r="E149" t="inlineStr">
        <is>
          <t>Bundled</t>
        </is>
      </c>
      <c r="F149" t="inlineStr">
        <is>
          <t>O</t>
        </is>
      </c>
      <c r="G149" t="inlineStr">
        <is>
          <t>TX</t>
        </is>
      </c>
      <c r="H149" t="inlineStr">
        <is>
          <t>Retail Power Marketer</t>
        </is>
      </c>
      <c r="I149" t="inlineStr">
        <is>
          <t>ERCO</t>
        </is>
      </c>
      <c r="J149" t="n">
        <v>26812</v>
      </c>
      <c r="K149" t="n">
        <v>338947</v>
      </c>
      <c r="L149" t="n">
        <v>19461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26812</v>
      </c>
      <c r="W149" t="n">
        <v>338947</v>
      </c>
      <c r="X149" t="n">
        <v>19461</v>
      </c>
      <c r="Y149">
        <f>IF(ISNUMBER($W149),$W149,0)</f>
        <v/>
      </c>
      <c r="Z149">
        <f>IF(ISNUMBER(SEARCH("Adjustment",$C149)),"excluded",IF($H149="Behind the Meter","excluded",IF(NOT(OR($E149="Bundled",$E149="Energy")),"excluded",IF(OR($H149="Retail Power Marketer",$H149="Community Choice Aggregator",$E149="Energy"),"procurement",IF(OR($H149="Municipal",$H149="Cooperative",$H149="Federal",$H149="State",$H149="Political Subdivision"),"cost_service",IF($H149="Investor Owned",IF(AND(COUNTIF(Parameters!$A$4:$A$33,$G149)&gt;0,COUNTIF(Parameters!$B$4:$B$33,$B149)=0),"procurement","cost_service"),"unclassified"))))))</f>
        <v/>
      </c>
    </row>
    <row r="150">
      <c r="A150" t="n">
        <v>2024</v>
      </c>
      <c r="B150" t="n">
        <v>62987</v>
      </c>
      <c r="C150" t="inlineStr">
        <is>
          <t>Octopus Energy LLC</t>
        </is>
      </c>
      <c r="D150" t="inlineStr">
        <is>
          <t>D</t>
        </is>
      </c>
      <c r="E150" t="inlineStr">
        <is>
          <t>Bundled</t>
        </is>
      </c>
      <c r="F150" t="inlineStr">
        <is>
          <t>O</t>
        </is>
      </c>
      <c r="G150" t="inlineStr">
        <is>
          <t>TX</t>
        </is>
      </c>
      <c r="H150" t="inlineStr">
        <is>
          <t>Retail Power Marketer</t>
        </is>
      </c>
      <c r="I150" t="inlineStr">
        <is>
          <t>ERCO</t>
        </is>
      </c>
      <c r="J150" t="n">
        <v>38522</v>
      </c>
      <c r="K150" t="n">
        <v>305358</v>
      </c>
      <c r="L150" t="n">
        <v>16024</v>
      </c>
      <c r="M150" t="inlineStr">
        <is>
          <t>.</t>
        </is>
      </c>
      <c r="N150" t="inlineStr">
        <is>
          <t>.</t>
        </is>
      </c>
      <c r="O150" t="inlineStr">
        <is>
          <t>.</t>
        </is>
      </c>
      <c r="P150" t="inlineStr">
        <is>
          <t>.</t>
        </is>
      </c>
      <c r="Q150" t="inlineStr">
        <is>
          <t>.</t>
        </is>
      </c>
      <c r="R150" t="inlineStr">
        <is>
          <t>.</t>
        </is>
      </c>
      <c r="S150" t="inlineStr">
        <is>
          <t>.</t>
        </is>
      </c>
      <c r="T150" t="inlineStr">
        <is>
          <t>.</t>
        </is>
      </c>
      <c r="U150" t="inlineStr">
        <is>
          <t>.</t>
        </is>
      </c>
      <c r="V150" t="n">
        <v>38522</v>
      </c>
      <c r="W150" t="n">
        <v>305358</v>
      </c>
      <c r="X150" t="n">
        <v>16024</v>
      </c>
      <c r="Y150">
        <f>IF(ISNUMBER($W150),$W150,0)</f>
        <v/>
      </c>
      <c r="Z150">
        <f>IF(ISNUMBER(SEARCH("Adjustment",$C150)),"excluded",IF($H150="Behind the Meter","excluded",IF(NOT(OR($E150="Bundled",$E150="Energy")),"excluded",IF(OR($H150="Retail Power Marketer",$H150="Community Choice Aggregator",$E150="Energy"),"procurement",IF(OR($H150="Municipal",$H150="Cooperative",$H150="Federal",$H150="State",$H150="Political Subdivision"),"cost_service",IF($H150="Investor Owned",IF(AND(COUNTIF(Parameters!$A$4:$A$33,$G150)&gt;0,COUNTIF(Parameters!$B$4:$B$33,$B150)=0),"procurement","cost_service"),"unclassified"))))))</f>
        <v/>
      </c>
    </row>
    <row r="151">
      <c r="A151" t="n">
        <v>2024</v>
      </c>
      <c r="B151" t="n">
        <v>63422</v>
      </c>
      <c r="C151" t="inlineStr">
        <is>
          <t>Varsity Energy</t>
        </is>
      </c>
      <c r="D151" t="inlineStr">
        <is>
          <t>D</t>
        </is>
      </c>
      <c r="E151" t="inlineStr">
        <is>
          <t>Bundled</t>
        </is>
      </c>
      <c r="F151" t="inlineStr">
        <is>
          <t>O</t>
        </is>
      </c>
      <c r="G151" t="inlineStr">
        <is>
          <t>TX</t>
        </is>
      </c>
      <c r="H151" t="inlineStr">
        <is>
          <t>Retail Power Marketer</t>
        </is>
      </c>
      <c r="I151" t="inlineStr">
        <is>
          <t>ERCO</t>
        </is>
      </c>
      <c r="J151" t="n">
        <v>12923.5</v>
      </c>
      <c r="K151" t="n">
        <v>91958</v>
      </c>
      <c r="L151" t="n">
        <v>7180</v>
      </c>
      <c r="M151" t="n">
        <v>151.3</v>
      </c>
      <c r="N151" t="n">
        <v>1063</v>
      </c>
      <c r="O151" t="n">
        <v>34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13074.8</v>
      </c>
      <c r="W151" t="n">
        <v>93021</v>
      </c>
      <c r="X151" t="n">
        <v>7214</v>
      </c>
      <c r="Y151">
        <f>IF(ISNUMBER($W151),$W151,0)</f>
        <v/>
      </c>
      <c r="Z151">
        <f>IF(ISNUMBER(SEARCH("Adjustment",$C151)),"excluded",IF($H151="Behind the Meter","excluded",IF(NOT(OR($E151="Bundled",$E151="Energy")),"excluded",IF(OR($H151="Retail Power Marketer",$H151="Community Choice Aggregator",$E151="Energy"),"procurement",IF(OR($H151="Municipal",$H151="Cooperative",$H151="Federal",$H151="State",$H151="Political Subdivision"),"cost_service",IF($H151="Investor Owned",IF(AND(COUNTIF(Parameters!$A$4:$A$33,$G151)&gt;0,COUNTIF(Parameters!$B$4:$B$33,$B151)=0),"procurement","cost_service"),"unclassified"))))))</f>
        <v/>
      </c>
    </row>
    <row r="152">
      <c r="A152" t="n">
        <v>2024</v>
      </c>
      <c r="B152" t="n">
        <v>64011</v>
      </c>
      <c r="C152" t="inlineStr">
        <is>
          <t>Rhythm Ops LLC</t>
        </is>
      </c>
      <c r="D152" t="inlineStr">
        <is>
          <t>D</t>
        </is>
      </c>
      <c r="E152" t="inlineStr">
        <is>
          <t>Bundled</t>
        </is>
      </c>
      <c r="F152" t="inlineStr">
        <is>
          <t>O</t>
        </is>
      </c>
      <c r="G152" t="inlineStr">
        <is>
          <t>TX</t>
        </is>
      </c>
      <c r="H152" t="inlineStr">
        <is>
          <t>Retail Power Marketer</t>
        </is>
      </c>
      <c r="I152" t="inlineStr">
        <is>
          <t>ERCO</t>
        </is>
      </c>
      <c r="J152" t="n">
        <v>162524.3</v>
      </c>
      <c r="K152" t="n">
        <v>660084</v>
      </c>
      <c r="L152" t="n">
        <v>99070</v>
      </c>
      <c r="M152" t="n">
        <v>5209.3</v>
      </c>
      <c r="N152" t="n">
        <v>32609</v>
      </c>
      <c r="O152" t="n">
        <v>1099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167733.6</v>
      </c>
      <c r="W152" t="n">
        <v>692693</v>
      </c>
      <c r="X152" t="n">
        <v>100169</v>
      </c>
      <c r="Y152">
        <f>IF(ISNUMBER($W152),$W152,0)</f>
        <v/>
      </c>
      <c r="Z152">
        <f>IF(ISNUMBER(SEARCH("Adjustment",$C152)),"excluded",IF($H152="Behind the Meter","excluded",IF(NOT(OR($E152="Bundled",$E152="Energy")),"excluded",IF(OR($H152="Retail Power Marketer",$H152="Community Choice Aggregator",$E152="Energy"),"procurement",IF(OR($H152="Municipal",$H152="Cooperative",$H152="Federal",$H152="State",$H152="Political Subdivision"),"cost_service",IF($H152="Investor Owned",IF(AND(COUNTIF(Parameters!$A$4:$A$33,$G152)&gt;0,COUNTIF(Parameters!$B$4:$B$33,$B152)=0),"procurement","cost_service"),"unclassified"))))))</f>
        <v/>
      </c>
    </row>
    <row r="153">
      <c r="A153" t="n">
        <v>2024</v>
      </c>
      <c r="B153" t="n">
        <v>64312</v>
      </c>
      <c r="C153" t="inlineStr">
        <is>
          <t>JP Energy Resources, LLC</t>
        </is>
      </c>
      <c r="D153" t="inlineStr">
        <is>
          <t>D</t>
        </is>
      </c>
      <c r="E153" t="inlineStr">
        <is>
          <t>Bundled</t>
        </is>
      </c>
      <c r="F153" t="inlineStr">
        <is>
          <t>O</t>
        </is>
      </c>
      <c r="G153" t="inlineStr">
        <is>
          <t>TX</t>
        </is>
      </c>
      <c r="H153" t="inlineStr">
        <is>
          <t>Retail Power Marketer</t>
        </is>
      </c>
      <c r="I153" t="inlineStr">
        <is>
          <t>ERCO</t>
        </is>
      </c>
      <c r="J153" t="n">
        <v>4851.6</v>
      </c>
      <c r="K153" t="n">
        <v>42184</v>
      </c>
      <c r="L153" t="n">
        <v>4058</v>
      </c>
      <c r="M153" t="n">
        <v>906.1</v>
      </c>
      <c r="N153" t="n">
        <v>9790</v>
      </c>
      <c r="O153" t="n">
        <v>353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5757.7</v>
      </c>
      <c r="W153" t="n">
        <v>51974</v>
      </c>
      <c r="X153" t="n">
        <v>4411</v>
      </c>
      <c r="Y153">
        <f>IF(ISNUMBER($W153),$W153,0)</f>
        <v/>
      </c>
      <c r="Z153">
        <f>IF(ISNUMBER(SEARCH("Adjustment",$C153)),"excluded",IF($H153="Behind the Meter","excluded",IF(NOT(OR($E153="Bundled",$E153="Energy")),"excluded",IF(OR($H153="Retail Power Marketer",$H153="Community Choice Aggregator",$E153="Energy"),"procurement",IF(OR($H153="Municipal",$H153="Cooperative",$H153="Federal",$H153="State",$H153="Political Subdivision"),"cost_service",IF($H153="Investor Owned",IF(AND(COUNTIF(Parameters!$A$4:$A$33,$G153)&gt;0,COUNTIF(Parameters!$B$4:$B$33,$B153)=0),"procurement","cost_service"),"unclassified"))))))</f>
        <v/>
      </c>
    </row>
    <row r="154">
      <c r="A154" t="n">
        <v>2024</v>
      </c>
      <c r="B154" t="n">
        <v>64314</v>
      </c>
      <c r="C154" t="inlineStr">
        <is>
          <t>BP Energy Retail LLC</t>
        </is>
      </c>
      <c r="D154" t="inlineStr">
        <is>
          <t>D</t>
        </is>
      </c>
      <c r="E154" t="inlineStr">
        <is>
          <t>Bundled</t>
        </is>
      </c>
      <c r="F154" t="inlineStr">
        <is>
          <t>O</t>
        </is>
      </c>
      <c r="G154" t="inlineStr">
        <is>
          <t>TX</t>
        </is>
      </c>
      <c r="H154" t="inlineStr">
        <is>
          <t>Retail Power Marketer</t>
        </is>
      </c>
      <c r="I154" t="inlineStr">
        <is>
          <t>ERCO</t>
        </is>
      </c>
      <c r="J154" t="n">
        <v>0</v>
      </c>
      <c r="K154" t="n">
        <v>0</v>
      </c>
      <c r="L154" t="n">
        <v>0</v>
      </c>
      <c r="M154" t="n">
        <v>741241</v>
      </c>
      <c r="N154" t="n">
        <v>16891941</v>
      </c>
      <c r="O154" t="n">
        <v>453</v>
      </c>
      <c r="P154" t="n">
        <v>1206903</v>
      </c>
      <c r="Q154" t="n">
        <v>23432998</v>
      </c>
      <c r="R154" t="n">
        <v>200</v>
      </c>
      <c r="S154" t="n">
        <v>0</v>
      </c>
      <c r="T154" t="n">
        <v>0</v>
      </c>
      <c r="U154" t="n">
        <v>0</v>
      </c>
      <c r="V154" t="n">
        <v>1948144</v>
      </c>
      <c r="W154" t="n">
        <v>40324939</v>
      </c>
      <c r="X154" t="n">
        <v>653</v>
      </c>
      <c r="Y154">
        <f>IF(ISNUMBER($W154),$W154,0)</f>
        <v/>
      </c>
      <c r="Z154">
        <f>IF(ISNUMBER(SEARCH("Adjustment",$C154)),"excluded",IF($H154="Behind the Meter","excluded",IF(NOT(OR($E154="Bundled",$E154="Energy")),"excluded",IF(OR($H154="Retail Power Marketer",$H154="Community Choice Aggregator",$E154="Energy"),"procurement",IF(OR($H154="Municipal",$H154="Cooperative",$H154="Federal",$H154="State",$H154="Political Subdivision"),"cost_service",IF($H154="Investor Owned",IF(AND(COUNTIF(Parameters!$A$4:$A$33,$G154)&gt;0,COUNTIF(Parameters!$B$4:$B$33,$B154)=0),"procurement","cost_service"),"unclassified"))))))</f>
        <v/>
      </c>
    </row>
    <row r="155">
      <c r="A155" t="n">
        <v>2024</v>
      </c>
      <c r="B155" t="n">
        <v>64521</v>
      </c>
      <c r="C155" t="inlineStr">
        <is>
          <t>Ironhorse Power Services LLC</t>
        </is>
      </c>
      <c r="D155" t="inlineStr">
        <is>
          <t>D</t>
        </is>
      </c>
      <c r="E155" t="inlineStr">
        <is>
          <t>Bundled</t>
        </is>
      </c>
      <c r="F155" t="inlineStr">
        <is>
          <t>O</t>
        </is>
      </c>
      <c r="G155" t="inlineStr">
        <is>
          <t>TX</t>
        </is>
      </c>
      <c r="H155" t="inlineStr">
        <is>
          <t>Retail Power Marketer</t>
        </is>
      </c>
      <c r="I155" t="inlineStr">
        <is>
          <t>ERCO</t>
        </is>
      </c>
      <c r="J155" t="n">
        <v>62141.3</v>
      </c>
      <c r="K155" t="n">
        <v>751712</v>
      </c>
      <c r="L155" t="n">
        <v>48611</v>
      </c>
      <c r="M155" t="n">
        <v>22366.7</v>
      </c>
      <c r="N155" t="n">
        <v>304359</v>
      </c>
      <c r="O155" t="n">
        <v>5193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84508</v>
      </c>
      <c r="W155" t="n">
        <v>1056071</v>
      </c>
      <c r="X155" t="n">
        <v>53804</v>
      </c>
      <c r="Y155">
        <f>IF(ISNUMBER($W155),$W155,0)</f>
        <v/>
      </c>
      <c r="Z155">
        <f>IF(ISNUMBER(SEARCH("Adjustment",$C155)),"excluded",IF($H155="Behind the Meter","excluded",IF(NOT(OR($E155="Bundled",$E155="Energy")),"excluded",IF(OR($H155="Retail Power Marketer",$H155="Community Choice Aggregator",$E155="Energy"),"procurement",IF(OR($H155="Municipal",$H155="Cooperative",$H155="Federal",$H155="State",$H155="Political Subdivision"),"cost_service",IF($H155="Investor Owned",IF(AND(COUNTIF(Parameters!$A$4:$A$33,$G155)&gt;0,COUNTIF(Parameters!$B$4:$B$33,$B155)=0),"procurement","cost_service"),"unclassified"))))))</f>
        <v/>
      </c>
    </row>
    <row r="156">
      <c r="A156" t="n">
        <v>2024</v>
      </c>
      <c r="B156" t="n">
        <v>64554</v>
      </c>
      <c r="C156" t="inlineStr">
        <is>
          <t>OhmConnect Texas LLC</t>
        </is>
      </c>
      <c r="D156" t="inlineStr">
        <is>
          <t>D</t>
        </is>
      </c>
      <c r="E156" t="inlineStr">
        <is>
          <t>Bundled</t>
        </is>
      </c>
      <c r="F156" t="inlineStr">
        <is>
          <t>O</t>
        </is>
      </c>
      <c r="G156" t="inlineStr">
        <is>
          <t>TX</t>
        </is>
      </c>
      <c r="H156" t="inlineStr">
        <is>
          <t>Retail Power Marketer</t>
        </is>
      </c>
      <c r="I156" t="inlineStr">
        <is>
          <t>ERCO</t>
        </is>
      </c>
      <c r="J156" t="n">
        <v>23971</v>
      </c>
      <c r="K156" t="n">
        <v>172676</v>
      </c>
      <c r="L156" t="n">
        <v>15567</v>
      </c>
      <c r="M156" t="inlineStr">
        <is>
          <t>.</t>
        </is>
      </c>
      <c r="N156" t="inlineStr">
        <is>
          <t>.</t>
        </is>
      </c>
      <c r="O156" t="inlineStr">
        <is>
          <t>.</t>
        </is>
      </c>
      <c r="P156" t="inlineStr">
        <is>
          <t>.</t>
        </is>
      </c>
      <c r="Q156" t="inlineStr">
        <is>
          <t>.</t>
        </is>
      </c>
      <c r="R156" t="inlineStr">
        <is>
          <t>.</t>
        </is>
      </c>
      <c r="S156" t="inlineStr">
        <is>
          <t>.</t>
        </is>
      </c>
      <c r="T156" t="inlineStr">
        <is>
          <t>.</t>
        </is>
      </c>
      <c r="U156" t="inlineStr">
        <is>
          <t>.</t>
        </is>
      </c>
      <c r="V156" t="n">
        <v>23971</v>
      </c>
      <c r="W156" t="n">
        <v>172676</v>
      </c>
      <c r="X156" t="n">
        <v>15567</v>
      </c>
      <c r="Y156">
        <f>IF(ISNUMBER($W156),$W156,0)</f>
        <v/>
      </c>
      <c r="Z156">
        <f>IF(ISNUMBER(SEARCH("Adjustment",$C156)),"excluded",IF($H156="Behind the Meter","excluded",IF(NOT(OR($E156="Bundled",$E156="Energy")),"excluded",IF(OR($H156="Retail Power Marketer",$H156="Community Choice Aggregator",$E156="Energy"),"procurement",IF(OR($H156="Municipal",$H156="Cooperative",$H156="Federal",$H156="State",$H156="Political Subdivision"),"cost_service",IF($H156="Investor Owned",IF(AND(COUNTIF(Parameters!$A$4:$A$33,$G156)&gt;0,COUNTIF(Parameters!$B$4:$B$33,$B156)=0),"procurement","cost_service"),"unclassified"))))))</f>
        <v/>
      </c>
    </row>
    <row r="157">
      <c r="A157" t="n">
        <v>2024</v>
      </c>
      <c r="B157" t="n">
        <v>64653</v>
      </c>
      <c r="C157" t="inlineStr">
        <is>
          <t>Declaration Energy LLC</t>
        </is>
      </c>
      <c r="D157" t="inlineStr">
        <is>
          <t>D</t>
        </is>
      </c>
      <c r="E157" t="inlineStr">
        <is>
          <t>Bundled</t>
        </is>
      </c>
      <c r="F157" t="inlineStr">
        <is>
          <t>O</t>
        </is>
      </c>
      <c r="G157" t="inlineStr">
        <is>
          <t>TX</t>
        </is>
      </c>
      <c r="H157" t="inlineStr">
        <is>
          <t>Retail Power Marketer</t>
        </is>
      </c>
      <c r="I157" t="inlineStr">
        <is>
          <t>ERCO</t>
        </is>
      </c>
      <c r="J157" t="n">
        <v>24911.2</v>
      </c>
      <c r="K157" t="n">
        <v>180228</v>
      </c>
      <c r="L157" t="n">
        <v>28854</v>
      </c>
      <c r="M157" t="n">
        <v>1019.8</v>
      </c>
      <c r="N157" t="n">
        <v>6098</v>
      </c>
      <c r="O157" t="n">
        <v>1684</v>
      </c>
      <c r="P157" t="inlineStr">
        <is>
          <t>.</t>
        </is>
      </c>
      <c r="Q157" t="inlineStr">
        <is>
          <t>.</t>
        </is>
      </c>
      <c r="R157" t="inlineStr">
        <is>
          <t>.</t>
        </is>
      </c>
      <c r="S157" t="inlineStr">
        <is>
          <t>.</t>
        </is>
      </c>
      <c r="T157" t="inlineStr">
        <is>
          <t>.</t>
        </is>
      </c>
      <c r="U157" t="inlineStr">
        <is>
          <t>.</t>
        </is>
      </c>
      <c r="V157" t="n">
        <v>25931</v>
      </c>
      <c r="W157" t="n">
        <v>186326</v>
      </c>
      <c r="X157" t="n">
        <v>30538</v>
      </c>
      <c r="Y157">
        <f>IF(ISNUMBER($W157),$W157,0)</f>
        <v/>
      </c>
      <c r="Z157">
        <f>IF(ISNUMBER(SEARCH("Adjustment",$C157)),"excluded",IF($H157="Behind the Meter","excluded",IF(NOT(OR($E157="Bundled",$E157="Energy")),"excluded",IF(OR($H157="Retail Power Marketer",$H157="Community Choice Aggregator",$E157="Energy"),"procurement",IF(OR($H157="Municipal",$H157="Cooperative",$H157="Federal",$H157="State",$H157="Political Subdivision"),"cost_service",IF($H157="Investor Owned",IF(AND(COUNTIF(Parameters!$A$4:$A$33,$G157)&gt;0,COUNTIF(Parameters!$B$4:$B$33,$B157)=0),"procurement","cost_service"),"unclassified"))))))</f>
        <v/>
      </c>
    </row>
    <row r="158">
      <c r="A158" t="n">
        <v>2024</v>
      </c>
      <c r="B158" t="n">
        <v>64682</v>
      </c>
      <c r="C158" t="inlineStr">
        <is>
          <t>Gexa Energy, LP</t>
        </is>
      </c>
      <c r="D158" t="inlineStr">
        <is>
          <t>D</t>
        </is>
      </c>
      <c r="E158" t="inlineStr">
        <is>
          <t>Bundled</t>
        </is>
      </c>
      <c r="F158" t="inlineStr">
        <is>
          <t>O</t>
        </is>
      </c>
      <c r="G158" t="inlineStr">
        <is>
          <t>TX</t>
        </is>
      </c>
      <c r="H158" t="inlineStr">
        <is>
          <t>Retail Power Marketer</t>
        </is>
      </c>
      <c r="I158" t="inlineStr">
        <is>
          <t>ERCO</t>
        </is>
      </c>
      <c r="J158" t="n">
        <v>673339.7</v>
      </c>
      <c r="K158" t="n">
        <v>3717575</v>
      </c>
      <c r="L158" t="n">
        <v>259811</v>
      </c>
      <c r="M158" t="n">
        <v>611223.4</v>
      </c>
      <c r="N158" t="n">
        <v>8342871</v>
      </c>
      <c r="O158" t="n">
        <v>67920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1284563.1</v>
      </c>
      <c r="W158" t="n">
        <v>12060446</v>
      </c>
      <c r="X158" t="n">
        <v>327731</v>
      </c>
      <c r="Y158">
        <f>IF(ISNUMBER($W158),$W158,0)</f>
        <v/>
      </c>
      <c r="Z158">
        <f>IF(ISNUMBER(SEARCH("Adjustment",$C158)),"excluded",IF($H158="Behind the Meter","excluded",IF(NOT(OR($E158="Bundled",$E158="Energy")),"excluded",IF(OR($H158="Retail Power Marketer",$H158="Community Choice Aggregator",$E158="Energy"),"procurement",IF(OR($H158="Municipal",$H158="Cooperative",$H158="Federal",$H158="State",$H158="Political Subdivision"),"cost_service",IF($H158="Investor Owned",IF(AND(COUNTIF(Parameters!$A$4:$A$33,$G158)&gt;0,COUNTIF(Parameters!$B$4:$B$33,$B158)=0),"procurement","cost_service"),"unclassified"))))))</f>
        <v/>
      </c>
    </row>
    <row r="159">
      <c r="A159" t="n">
        <v>2024</v>
      </c>
      <c r="B159" t="n">
        <v>64727</v>
      </c>
      <c r="C159" t="inlineStr">
        <is>
          <t>Branch Energy Texas LLC</t>
        </is>
      </c>
      <c r="D159" t="inlineStr">
        <is>
          <t>D</t>
        </is>
      </c>
      <c r="E159" t="inlineStr">
        <is>
          <t>Bundled</t>
        </is>
      </c>
      <c r="F159" t="inlineStr">
        <is>
          <t>O</t>
        </is>
      </c>
      <c r="G159" t="inlineStr">
        <is>
          <t>TX</t>
        </is>
      </c>
      <c r="H159" t="inlineStr">
        <is>
          <t>Retail Power Marketer</t>
        </is>
      </c>
      <c r="I159" t="inlineStr">
        <is>
          <t>ERCO</t>
        </is>
      </c>
      <c r="J159" t="n">
        <v>2690.6</v>
      </c>
      <c r="K159" t="n">
        <v>17272</v>
      </c>
      <c r="L159" t="n">
        <v>1243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2690.6</v>
      </c>
      <c r="W159" t="n">
        <v>17272</v>
      </c>
      <c r="X159" t="n">
        <v>1243</v>
      </c>
      <c r="Y159">
        <f>IF(ISNUMBER($W159),$W159,0)</f>
        <v/>
      </c>
      <c r="Z159">
        <f>IF(ISNUMBER(SEARCH("Adjustment",$C159)),"excluded",IF($H159="Behind the Meter","excluded",IF(NOT(OR($E159="Bundled",$E159="Energy")),"excluded",IF(OR($H159="Retail Power Marketer",$H159="Community Choice Aggregator",$E159="Energy"),"procurement",IF(OR($H159="Municipal",$H159="Cooperative",$H159="Federal",$H159="State",$H159="Political Subdivision"),"cost_service",IF($H159="Investor Owned",IF(AND(COUNTIF(Parameters!$A$4:$A$33,$G159)&gt;0,COUNTIF(Parameters!$B$4:$B$33,$B159)=0),"procurement","cost_service"),"unclassified"))))))</f>
        <v/>
      </c>
    </row>
    <row r="160">
      <c r="A160" t="n">
        <v>2024</v>
      </c>
      <c r="B160" t="n">
        <v>64906</v>
      </c>
      <c r="C160" t="inlineStr">
        <is>
          <t>Mothership</t>
        </is>
      </c>
      <c r="D160" t="inlineStr">
        <is>
          <t>D</t>
        </is>
      </c>
      <c r="E160" t="inlineStr">
        <is>
          <t>Bundled</t>
        </is>
      </c>
      <c r="F160" t="inlineStr">
        <is>
          <t>O</t>
        </is>
      </c>
      <c r="G160" t="inlineStr">
        <is>
          <t>TX</t>
        </is>
      </c>
      <c r="H160" t="inlineStr">
        <is>
          <t>Retail Power Marketer</t>
        </is>
      </c>
      <c r="I160" t="inlineStr">
        <is>
          <t>ERCO</t>
        </is>
      </c>
      <c r="J160" t="n">
        <v>145123</v>
      </c>
      <c r="K160" t="n">
        <v>1029684</v>
      </c>
      <c r="L160" t="n">
        <v>54612</v>
      </c>
      <c r="M160" t="n">
        <v>120670</v>
      </c>
      <c r="N160" t="n">
        <v>2720798</v>
      </c>
      <c r="O160" t="n">
        <v>89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265793</v>
      </c>
      <c r="W160" t="n">
        <v>3750482</v>
      </c>
      <c r="X160" t="n">
        <v>54701</v>
      </c>
      <c r="Y160">
        <f>IF(ISNUMBER($W160),$W160,0)</f>
        <v/>
      </c>
      <c r="Z160">
        <f>IF(ISNUMBER(SEARCH("Adjustment",$C160)),"excluded",IF($H160="Behind the Meter","excluded",IF(NOT(OR($E160="Bundled",$E160="Energy")),"excluded",IF(OR($H160="Retail Power Marketer",$H160="Community Choice Aggregator",$E160="Energy"),"procurement",IF(OR($H160="Municipal",$H160="Cooperative",$H160="Federal",$H160="State",$H160="Political Subdivision"),"cost_service",IF($H160="Investor Owned",IF(AND(COUNTIF(Parameters!$A$4:$A$33,$G160)&gt;0,COUNTIF(Parameters!$B$4:$B$33,$B160)=0),"procurement","cost_service"),"unclassified"))))))</f>
        <v/>
      </c>
    </row>
    <row r="161">
      <c r="A161" t="n">
        <v>2024</v>
      </c>
      <c r="B161" t="n">
        <v>64923</v>
      </c>
      <c r="C161" t="inlineStr">
        <is>
          <t>Capital Energy PA LLC</t>
        </is>
      </c>
      <c r="D161" t="inlineStr">
        <is>
          <t>D</t>
        </is>
      </c>
      <c r="E161" t="inlineStr">
        <is>
          <t>Bundled</t>
        </is>
      </c>
      <c r="F161" t="inlineStr">
        <is>
          <t>O</t>
        </is>
      </c>
      <c r="G161" t="inlineStr">
        <is>
          <t>TX</t>
        </is>
      </c>
      <c r="H161" t="inlineStr">
        <is>
          <t>Retail Power Marketer</t>
        </is>
      </c>
      <c r="I161" t="inlineStr">
        <is>
          <t>ERCO</t>
        </is>
      </c>
      <c r="J161" t="n">
        <v>5334.5</v>
      </c>
      <c r="K161" t="n">
        <v>39155</v>
      </c>
      <c r="L161" t="n">
        <v>6214</v>
      </c>
      <c r="M161" t="n">
        <v>282.2</v>
      </c>
      <c r="N161" t="n">
        <v>2380</v>
      </c>
      <c r="O161" t="n">
        <v>77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5616.7</v>
      </c>
      <c r="W161" t="n">
        <v>41535</v>
      </c>
      <c r="X161" t="n">
        <v>6291</v>
      </c>
      <c r="Y161">
        <f>IF(ISNUMBER($W161),$W161,0)</f>
        <v/>
      </c>
      <c r="Z161">
        <f>IF(ISNUMBER(SEARCH("Adjustment",$C161)),"excluded",IF($H161="Behind the Meter","excluded",IF(NOT(OR($E161="Bundled",$E161="Energy")),"excluded",IF(OR($H161="Retail Power Marketer",$H161="Community Choice Aggregator",$E161="Energy"),"procurement",IF(OR($H161="Municipal",$H161="Cooperative",$H161="Federal",$H161="State",$H161="Political Subdivision"),"cost_service",IF($H161="Investor Owned",IF(AND(COUNTIF(Parameters!$A$4:$A$33,$G161)&gt;0,COUNTIF(Parameters!$B$4:$B$33,$B161)=0),"procurement","cost_service"),"unclassified"))))))</f>
        <v/>
      </c>
    </row>
    <row r="162">
      <c r="A162" t="n">
        <v>2024</v>
      </c>
      <c r="B162" t="n">
        <v>64929</v>
      </c>
      <c r="C162" t="inlineStr">
        <is>
          <t>Good Charlie &amp; Co., LLC</t>
        </is>
      </c>
      <c r="D162" t="inlineStr">
        <is>
          <t>D</t>
        </is>
      </c>
      <c r="E162" t="inlineStr">
        <is>
          <t>Bundled</t>
        </is>
      </c>
      <c r="F162" t="inlineStr">
        <is>
          <t>O</t>
        </is>
      </c>
      <c r="G162" t="inlineStr">
        <is>
          <t>TX</t>
        </is>
      </c>
      <c r="H162" t="inlineStr">
        <is>
          <t>Retail Power Marketer</t>
        </is>
      </c>
      <c r="I162" t="inlineStr">
        <is>
          <t>ERCO</t>
        </is>
      </c>
      <c r="J162" t="n">
        <v>55123.7</v>
      </c>
      <c r="K162" t="n">
        <v>412637</v>
      </c>
      <c r="L162" t="n">
        <v>23272</v>
      </c>
      <c r="M162" t="inlineStr">
        <is>
          <t>.</t>
        </is>
      </c>
      <c r="N162" t="inlineStr">
        <is>
          <t>.</t>
        </is>
      </c>
      <c r="O162" t="inlineStr">
        <is>
          <t>.</t>
        </is>
      </c>
      <c r="P162" t="inlineStr">
        <is>
          <t>.</t>
        </is>
      </c>
      <c r="Q162" t="inlineStr">
        <is>
          <t>.</t>
        </is>
      </c>
      <c r="R162" t="inlineStr">
        <is>
          <t>.</t>
        </is>
      </c>
      <c r="S162" t="inlineStr">
        <is>
          <t>.</t>
        </is>
      </c>
      <c r="T162" t="inlineStr">
        <is>
          <t>.</t>
        </is>
      </c>
      <c r="U162" t="inlineStr">
        <is>
          <t>.</t>
        </is>
      </c>
      <c r="V162" t="n">
        <v>55123.7</v>
      </c>
      <c r="W162" t="n">
        <v>412637</v>
      </c>
      <c r="X162" t="n">
        <v>23272</v>
      </c>
      <c r="Y162">
        <f>IF(ISNUMBER($W162),$W162,0)</f>
        <v/>
      </c>
      <c r="Z162">
        <f>IF(ISNUMBER(SEARCH("Adjustment",$C162)),"excluded",IF($H162="Behind the Meter","excluded",IF(NOT(OR($E162="Bundled",$E162="Energy")),"excluded",IF(OR($H162="Retail Power Marketer",$H162="Community Choice Aggregator",$E162="Energy"),"procurement",IF(OR($H162="Municipal",$H162="Cooperative",$H162="Federal",$H162="State",$H162="Political Subdivision"),"cost_service",IF($H162="Investor Owned",IF(AND(COUNTIF(Parameters!$A$4:$A$33,$G162)&gt;0,COUNTIF(Parameters!$B$4:$B$33,$B162)=0),"procurement","cost_service"),"unclassified"))))))</f>
        <v/>
      </c>
    </row>
    <row r="163">
      <c r="A163" t="n">
        <v>2024</v>
      </c>
      <c r="B163" t="n">
        <v>64977</v>
      </c>
      <c r="C163" t="inlineStr">
        <is>
          <t>Revolution Energy LLC</t>
        </is>
      </c>
      <c r="D163" t="inlineStr">
        <is>
          <t>D</t>
        </is>
      </c>
      <c r="E163" t="inlineStr">
        <is>
          <t>Bundled</t>
        </is>
      </c>
      <c r="F163" t="inlineStr">
        <is>
          <t>O</t>
        </is>
      </c>
      <c r="G163" t="inlineStr">
        <is>
          <t>TX</t>
        </is>
      </c>
      <c r="H163" t="inlineStr">
        <is>
          <t>Retail Power Marketer</t>
        </is>
      </c>
      <c r="I163" t="inlineStr">
        <is>
          <t>ERCO</t>
        </is>
      </c>
      <c r="J163" t="n">
        <v>7103.6</v>
      </c>
      <c r="K163" t="n">
        <v>51618</v>
      </c>
      <c r="L163" t="n">
        <v>3960</v>
      </c>
      <c r="M163" t="n">
        <v>491</v>
      </c>
      <c r="N163" t="n">
        <v>4090</v>
      </c>
      <c r="O163" t="n">
        <v>64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7594.6</v>
      </c>
      <c r="W163" t="n">
        <v>55708</v>
      </c>
      <c r="X163" t="n">
        <v>4024</v>
      </c>
      <c r="Y163">
        <f>IF(ISNUMBER($W163),$W163,0)</f>
        <v/>
      </c>
      <c r="Z163">
        <f>IF(ISNUMBER(SEARCH("Adjustment",$C163)),"excluded",IF($H163="Behind the Meter","excluded",IF(NOT(OR($E163="Bundled",$E163="Energy")),"excluded",IF(OR($H163="Retail Power Marketer",$H163="Community Choice Aggregator",$E163="Energy"),"procurement",IF(OR($H163="Municipal",$H163="Cooperative",$H163="Federal",$H163="State",$H163="Political Subdivision"),"cost_service",IF($H163="Investor Owned",IF(AND(COUNTIF(Parameters!$A$4:$A$33,$G163)&gt;0,COUNTIF(Parameters!$B$4:$B$33,$B163)=0),"procurement","cost_service"),"unclassified"))))))</f>
        <v/>
      </c>
    </row>
    <row r="164">
      <c r="A164" t="n">
        <v>2024</v>
      </c>
      <c r="B164" t="n">
        <v>65314</v>
      </c>
      <c r="C164" t="inlineStr">
        <is>
          <t>BKV-BPP Retail, LLC</t>
        </is>
      </c>
      <c r="D164" t="inlineStr">
        <is>
          <t>D</t>
        </is>
      </c>
      <c r="E164" t="inlineStr">
        <is>
          <t>Bundled</t>
        </is>
      </c>
      <c r="F164" t="inlineStr">
        <is>
          <t>O</t>
        </is>
      </c>
      <c r="G164" t="inlineStr">
        <is>
          <t>TX</t>
        </is>
      </c>
      <c r="H164" t="inlineStr">
        <is>
          <t>Retail Power Marketer</t>
        </is>
      </c>
      <c r="I164" t="inlineStr">
        <is>
          <t>ERCO</t>
        </is>
      </c>
      <c r="J164" t="n">
        <v>136831.5</v>
      </c>
      <c r="K164" t="n">
        <v>959459</v>
      </c>
      <c r="L164" t="n">
        <v>52764</v>
      </c>
      <c r="M164" t="n">
        <v>1068.8</v>
      </c>
      <c r="N164" t="n">
        <v>7424</v>
      </c>
      <c r="O164" t="n">
        <v>324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137900.3</v>
      </c>
      <c r="W164" t="n">
        <v>966883</v>
      </c>
      <c r="X164" t="n">
        <v>53088</v>
      </c>
      <c r="Y164">
        <f>IF(ISNUMBER($W164),$W164,0)</f>
        <v/>
      </c>
      <c r="Z164">
        <f>IF(ISNUMBER(SEARCH("Adjustment",$C164)),"excluded",IF($H164="Behind the Meter","excluded",IF(NOT(OR($E164="Bundled",$E164="Energy")),"excluded",IF(OR($H164="Retail Power Marketer",$H164="Community Choice Aggregator",$E164="Energy"),"procurement",IF(OR($H164="Municipal",$H164="Cooperative",$H164="Federal",$H164="State",$H164="Political Subdivision"),"cost_service",IF($H164="Investor Owned",IF(AND(COUNTIF(Parameters!$A$4:$A$33,$G164)&gt;0,COUNTIF(Parameters!$B$4:$B$33,$B164)=0),"procurement","cost_service"),"unclassified"))))))</f>
        <v/>
      </c>
    </row>
    <row r="165">
      <c r="A165" t="n">
        <v>2024</v>
      </c>
      <c r="B165" t="n">
        <v>65353</v>
      </c>
      <c r="C165" t="inlineStr">
        <is>
          <t>Arrow Energy TX LLC</t>
        </is>
      </c>
      <c r="D165" t="inlineStr">
        <is>
          <t>D</t>
        </is>
      </c>
      <c r="E165" t="inlineStr">
        <is>
          <t>Bundled</t>
        </is>
      </c>
      <c r="F165" t="inlineStr">
        <is>
          <t>O</t>
        </is>
      </c>
      <c r="G165" t="inlineStr">
        <is>
          <t>TX</t>
        </is>
      </c>
      <c r="H165" t="inlineStr">
        <is>
          <t>Retail Power Marketer</t>
        </is>
      </c>
      <c r="I165" t="inlineStr">
        <is>
          <t>ERCO</t>
        </is>
      </c>
      <c r="J165" t="n">
        <v>1331</v>
      </c>
      <c r="K165" t="n">
        <v>11485</v>
      </c>
      <c r="L165" t="n">
        <v>825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1331</v>
      </c>
      <c r="W165" t="n">
        <v>11485</v>
      </c>
      <c r="X165" t="n">
        <v>825</v>
      </c>
      <c r="Y165">
        <f>IF(ISNUMBER($W165),$W165,0)</f>
        <v/>
      </c>
      <c r="Z165">
        <f>IF(ISNUMBER(SEARCH("Adjustment",$C165)),"excluded",IF($H165="Behind the Meter","excluded",IF(NOT(OR($E165="Bundled",$E165="Energy")),"excluded",IF(OR($H165="Retail Power Marketer",$H165="Community Choice Aggregator",$E165="Energy"),"procurement",IF(OR($H165="Municipal",$H165="Cooperative",$H165="Federal",$H165="State",$H165="Political Subdivision"),"cost_service",IF($H165="Investor Owned",IF(AND(COUNTIF(Parameters!$A$4:$A$33,$G165)&gt;0,COUNTIF(Parameters!$B$4:$B$33,$B165)=0),"procurement","cost_service"),"unclassified"))))))</f>
        <v/>
      </c>
    </row>
    <row r="166">
      <c r="A166" t="n">
        <v>2024</v>
      </c>
      <c r="B166" t="n">
        <v>65413</v>
      </c>
      <c r="C166" t="inlineStr">
        <is>
          <t>Tesla Energy Ventures</t>
        </is>
      </c>
      <c r="D166" t="inlineStr">
        <is>
          <t>D</t>
        </is>
      </c>
      <c r="E166" t="inlineStr">
        <is>
          <t>Bundled</t>
        </is>
      </c>
      <c r="F166" t="inlineStr">
        <is>
          <t>O</t>
        </is>
      </c>
      <c r="G166" t="inlineStr">
        <is>
          <t>TX</t>
        </is>
      </c>
      <c r="H166" t="inlineStr">
        <is>
          <t>Retail Power Marketer</t>
        </is>
      </c>
      <c r="I166" t="inlineStr">
        <is>
          <t>ERCO</t>
        </is>
      </c>
      <c r="J166" t="n">
        <v>15448.3</v>
      </c>
      <c r="K166" t="n">
        <v>116650</v>
      </c>
      <c r="L166" t="n">
        <v>6348</v>
      </c>
      <c r="M166" t="n">
        <v>10871.6</v>
      </c>
      <c r="N166" t="n">
        <v>126820</v>
      </c>
      <c r="O166" t="n">
        <v>151</v>
      </c>
      <c r="P166" t="n">
        <v>138</v>
      </c>
      <c r="Q166" t="n">
        <v>1480</v>
      </c>
      <c r="R166" t="n">
        <v>4</v>
      </c>
      <c r="S166" t="n">
        <v>0</v>
      </c>
      <c r="T166" t="n">
        <v>0</v>
      </c>
      <c r="U166" t="n">
        <v>0</v>
      </c>
      <c r="V166" t="n">
        <v>26457.9</v>
      </c>
      <c r="W166" t="n">
        <v>244950</v>
      </c>
      <c r="X166" t="n">
        <v>6503</v>
      </c>
      <c r="Y166">
        <f>IF(ISNUMBER($W166),$W166,0)</f>
        <v/>
      </c>
      <c r="Z166">
        <f>IF(ISNUMBER(SEARCH("Adjustment",$C166)),"excluded",IF($H166="Behind the Meter","excluded",IF(NOT(OR($E166="Bundled",$E166="Energy")),"excluded",IF(OR($H166="Retail Power Marketer",$H166="Community Choice Aggregator",$E166="Energy"),"procurement",IF(OR($H166="Municipal",$H166="Cooperative",$H166="Federal",$H166="State",$H166="Political Subdivision"),"cost_service",IF($H166="Investor Owned",IF(AND(COUNTIF(Parameters!$A$4:$A$33,$G166)&gt;0,COUNTIF(Parameters!$B$4:$B$33,$B166)=0),"procurement","cost_service"),"unclassified"))))))</f>
        <v/>
      </c>
    </row>
    <row r="167">
      <c r="A167" t="n">
        <v>2024</v>
      </c>
      <c r="B167" t="n">
        <v>65610</v>
      </c>
      <c r="C167" t="inlineStr">
        <is>
          <t>Ammper Power LLC</t>
        </is>
      </c>
      <c r="D167" t="inlineStr">
        <is>
          <t>D</t>
        </is>
      </c>
      <c r="E167" t="inlineStr">
        <is>
          <t>Bundled</t>
        </is>
      </c>
      <c r="F167" t="inlineStr">
        <is>
          <t>O</t>
        </is>
      </c>
      <c r="G167" t="inlineStr">
        <is>
          <t>TX</t>
        </is>
      </c>
      <c r="H167" t="inlineStr">
        <is>
          <t>Retail Power Marketer</t>
        </is>
      </c>
      <c r="I167" t="inlineStr">
        <is>
          <t>ERCO</t>
        </is>
      </c>
      <c r="J167" t="n">
        <v>0</v>
      </c>
      <c r="K167" t="n">
        <v>0</v>
      </c>
      <c r="L167" t="n">
        <v>0</v>
      </c>
      <c r="M167" t="n">
        <v>10618</v>
      </c>
      <c r="N167" t="n">
        <v>127732</v>
      </c>
      <c r="O167" t="n">
        <v>66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10618</v>
      </c>
      <c r="W167" t="n">
        <v>127732</v>
      </c>
      <c r="X167" t="n">
        <v>66</v>
      </c>
      <c r="Y167">
        <f>IF(ISNUMBER($W167),$W167,0)</f>
        <v/>
      </c>
      <c r="Z167">
        <f>IF(ISNUMBER(SEARCH("Adjustment",$C167)),"excluded",IF($H167="Behind the Meter","excluded",IF(NOT(OR($E167="Bundled",$E167="Energy")),"excluded",IF(OR($H167="Retail Power Marketer",$H167="Community Choice Aggregator",$E167="Energy"),"procurement",IF(OR($H167="Municipal",$H167="Cooperative",$H167="Federal",$H167="State",$H167="Political Subdivision"),"cost_service",IF($H167="Investor Owned",IF(AND(COUNTIF(Parameters!$A$4:$A$33,$G167)&gt;0,COUNTIF(Parameters!$B$4:$B$33,$B167)=0),"procurement","cost_service"),"unclassified"))))))</f>
        <v/>
      </c>
    </row>
    <row r="168">
      <c r="A168" t="n">
        <v>2024</v>
      </c>
      <c r="B168" t="n">
        <v>66026</v>
      </c>
      <c r="C168" t="inlineStr">
        <is>
          <t>Palmetto Solar, LLC</t>
        </is>
      </c>
      <c r="D168" t="inlineStr">
        <is>
          <t>A</t>
        </is>
      </c>
      <c r="E168" t="inlineStr">
        <is>
          <t>Bundled</t>
        </is>
      </c>
      <c r="F168" t="inlineStr">
        <is>
          <t>O</t>
        </is>
      </c>
      <c r="G168" t="inlineStr">
        <is>
          <t>TX</t>
        </is>
      </c>
      <c r="H168" t="inlineStr">
        <is>
          <t>Behind the Meter</t>
        </is>
      </c>
      <c r="I168" t="inlineStr">
        <is>
          <t>ERCO</t>
        </is>
      </c>
      <c r="J168" t="n">
        <v>2129.8</v>
      </c>
      <c r="K168" t="n">
        <v>20363</v>
      </c>
      <c r="L168" t="n">
        <v>162</v>
      </c>
      <c r="M168" t="inlineStr">
        <is>
          <t>.</t>
        </is>
      </c>
      <c r="N168" t="inlineStr">
        <is>
          <t>.</t>
        </is>
      </c>
      <c r="O168" t="inlineStr">
        <is>
          <t>.</t>
        </is>
      </c>
      <c r="P168" t="inlineStr">
        <is>
          <t>.</t>
        </is>
      </c>
      <c r="Q168" t="inlineStr">
        <is>
          <t>.</t>
        </is>
      </c>
      <c r="R168" t="inlineStr">
        <is>
          <t>.</t>
        </is>
      </c>
      <c r="S168" t="inlineStr">
        <is>
          <t>.</t>
        </is>
      </c>
      <c r="T168" t="inlineStr">
        <is>
          <t>.</t>
        </is>
      </c>
      <c r="U168" t="inlineStr">
        <is>
          <t>.</t>
        </is>
      </c>
      <c r="V168" t="n">
        <v>2129.8</v>
      </c>
      <c r="W168" t="n">
        <v>20363</v>
      </c>
      <c r="X168" t="n">
        <v>162</v>
      </c>
      <c r="Y168">
        <f>IF(ISNUMBER($W168),$W168,0)</f>
        <v/>
      </c>
      <c r="Z168">
        <f>IF(ISNUMBER(SEARCH("Adjustment",$C168)),"excluded",IF($H168="Behind the Meter","excluded",IF(NOT(OR($E168="Bundled",$E168="Energy")),"excluded",IF(OR($H168="Retail Power Marketer",$H168="Community Choice Aggregator",$E168="Energy"),"procurement",IF(OR($H168="Municipal",$H168="Cooperative",$H168="Federal",$H168="State",$H168="Political Subdivision"),"cost_service",IF($H168="Investor Owned",IF(AND(COUNTIF(Parameters!$A$4:$A$33,$G168)&gt;0,COUNTIF(Parameters!$B$4:$B$33,$B168)=0),"procurement","cost_service"),"unclassified"))))))</f>
        <v/>
      </c>
    </row>
    <row r="169">
      <c r="A169" t="n">
        <v>2024</v>
      </c>
      <c r="B169" t="n">
        <v>66036</v>
      </c>
      <c r="C169" t="inlineStr">
        <is>
          <t>EverBright, LLC</t>
        </is>
      </c>
      <c r="D169" t="inlineStr">
        <is>
          <t>A</t>
        </is>
      </c>
      <c r="E169" t="inlineStr">
        <is>
          <t>Bundled</t>
        </is>
      </c>
      <c r="F169" t="inlineStr">
        <is>
          <t>O</t>
        </is>
      </c>
      <c r="G169" t="inlineStr">
        <is>
          <t>TX</t>
        </is>
      </c>
      <c r="H169" t="inlineStr">
        <is>
          <t>Behind the Meter</t>
        </is>
      </c>
      <c r="I169" t="inlineStr">
        <is>
          <t>ERCO</t>
        </is>
      </c>
      <c r="J169" t="n">
        <v>3832.6</v>
      </c>
      <c r="K169" t="n">
        <v>27620</v>
      </c>
      <c r="L169" t="n">
        <v>2269</v>
      </c>
      <c r="M169" t="inlineStr">
        <is>
          <t>.</t>
        </is>
      </c>
      <c r="N169" t="inlineStr">
        <is>
          <t>.</t>
        </is>
      </c>
      <c r="O169" t="inlineStr">
        <is>
          <t>.</t>
        </is>
      </c>
      <c r="P169" t="inlineStr">
        <is>
          <t>.</t>
        </is>
      </c>
      <c r="Q169" t="inlineStr">
        <is>
          <t>.</t>
        </is>
      </c>
      <c r="R169" t="inlineStr">
        <is>
          <t>.</t>
        </is>
      </c>
      <c r="S169" t="inlineStr">
        <is>
          <t>.</t>
        </is>
      </c>
      <c r="T169" t="inlineStr">
        <is>
          <t>.</t>
        </is>
      </c>
      <c r="U169" t="inlineStr">
        <is>
          <t>.</t>
        </is>
      </c>
      <c r="V169" t="n">
        <v>3832.6</v>
      </c>
      <c r="W169" t="n">
        <v>27620</v>
      </c>
      <c r="X169" t="n">
        <v>2269</v>
      </c>
      <c r="Y169">
        <f>IF(ISNUMBER($W169),$W169,0)</f>
        <v/>
      </c>
      <c r="Z169">
        <f>IF(ISNUMBER(SEARCH("Adjustment",$C169)),"excluded",IF($H169="Behind the Meter","excluded",IF(NOT(OR($E169="Bundled",$E169="Energy")),"excluded",IF(OR($H169="Retail Power Marketer",$H169="Community Choice Aggregator",$E169="Energy"),"procurement",IF(OR($H169="Municipal",$H169="Cooperative",$H169="Federal",$H169="State",$H169="Political Subdivision"),"cost_service",IF($H169="Investor Owned",IF(AND(COUNTIF(Parameters!$A$4:$A$33,$G169)&gt;0,COUNTIF(Parameters!$B$4:$B$33,$B169)=0),"procurement","cost_service"),"unclassified"))))))</f>
        <v/>
      </c>
    </row>
    <row r="170">
      <c r="A170" t="n">
        <v>2024</v>
      </c>
      <c r="B170" t="n">
        <v>66164</v>
      </c>
      <c r="C170" t="inlineStr">
        <is>
          <t>TerraForm Renewable Energy Services, LLC</t>
        </is>
      </c>
      <c r="D170" t="inlineStr">
        <is>
          <t>D</t>
        </is>
      </c>
      <c r="E170" t="inlineStr">
        <is>
          <t>Bundled</t>
        </is>
      </c>
      <c r="F170" t="inlineStr">
        <is>
          <t>O</t>
        </is>
      </c>
      <c r="G170" t="inlineStr">
        <is>
          <t>TX</t>
        </is>
      </c>
      <c r="H170" t="inlineStr">
        <is>
          <t>Retail Power Marketer</t>
        </is>
      </c>
      <c r="I170" t="inlineStr">
        <is>
          <t>ERCO</t>
        </is>
      </c>
      <c r="J170" t="n">
        <v>0</v>
      </c>
      <c r="K170" t="n">
        <v>0</v>
      </c>
      <c r="L170" t="n">
        <v>0</v>
      </c>
      <c r="M170" t="n">
        <v>56043</v>
      </c>
      <c r="N170" t="n">
        <v>939575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56043</v>
      </c>
      <c r="W170" t="n">
        <v>939575</v>
      </c>
      <c r="X170" t="n">
        <v>1</v>
      </c>
      <c r="Y170">
        <f>IF(ISNUMBER($W170),$W170,0)</f>
        <v/>
      </c>
      <c r="Z170">
        <f>IF(ISNUMBER(SEARCH("Adjustment",$C170)),"excluded",IF($H170="Behind the Meter","excluded",IF(NOT(OR($E170="Bundled",$E170="Energy")),"excluded",IF(OR($H170="Retail Power Marketer",$H170="Community Choice Aggregator",$E170="Energy"),"procurement",IF(OR($H170="Municipal",$H170="Cooperative",$H170="Federal",$H170="State",$H170="Political Subdivision"),"cost_service",IF($H170="Investor Owned",IF(AND(COUNTIF(Parameters!$A$4:$A$33,$G170)&gt;0,COUNTIF(Parameters!$B$4:$B$33,$B170)=0),"procurement","cost_service"),"unclassified"))))))</f>
        <v/>
      </c>
    </row>
    <row r="171">
      <c r="A171" t="n">
        <v>2024</v>
      </c>
      <c r="B171" t="n">
        <v>66332</v>
      </c>
      <c r="C171" t="inlineStr">
        <is>
          <t>Base Texas REP, LLC</t>
        </is>
      </c>
      <c r="D171" t="inlineStr">
        <is>
          <t>D</t>
        </is>
      </c>
      <c r="E171" t="inlineStr">
        <is>
          <t>Bundled</t>
        </is>
      </c>
      <c r="F171" t="inlineStr">
        <is>
          <t>O</t>
        </is>
      </c>
      <c r="G171" t="inlineStr">
        <is>
          <t>TX</t>
        </is>
      </c>
      <c r="H171" t="inlineStr">
        <is>
          <t>Retail Power Marketer</t>
        </is>
      </c>
      <c r="I171" t="inlineStr">
        <is>
          <t>ERCO</t>
        </is>
      </c>
      <c r="J171" t="n">
        <v>285.2</v>
      </c>
      <c r="K171" t="n">
        <v>2456</v>
      </c>
      <c r="L171" t="n">
        <v>297</v>
      </c>
      <c r="M171" t="n">
        <v>2.3</v>
      </c>
      <c r="N171" t="n">
        <v>20</v>
      </c>
      <c r="O171" t="n">
        <v>3</v>
      </c>
      <c r="P171" t="inlineStr">
        <is>
          <t>.</t>
        </is>
      </c>
      <c r="Q171" t="inlineStr">
        <is>
          <t>.</t>
        </is>
      </c>
      <c r="R171" t="inlineStr">
        <is>
          <t>.</t>
        </is>
      </c>
      <c r="S171" t="inlineStr">
        <is>
          <t>.</t>
        </is>
      </c>
      <c r="T171" t="inlineStr">
        <is>
          <t>.</t>
        </is>
      </c>
      <c r="U171" t="inlineStr">
        <is>
          <t>.</t>
        </is>
      </c>
      <c r="V171" t="n">
        <v>287.5</v>
      </c>
      <c r="W171" t="n">
        <v>2476</v>
      </c>
      <c r="X171" t="n">
        <v>300</v>
      </c>
      <c r="Y171">
        <f>IF(ISNUMBER($W171),$W171,0)</f>
        <v/>
      </c>
      <c r="Z171">
        <f>IF(ISNUMBER(SEARCH("Adjustment",$C171)),"excluded",IF($H171="Behind the Meter","excluded",IF(NOT(OR($E171="Bundled",$E171="Energy")),"excluded",IF(OR($H171="Retail Power Marketer",$H171="Community Choice Aggregator",$E171="Energy"),"procurement",IF(OR($H171="Municipal",$H171="Cooperative",$H171="Federal",$H171="State",$H171="Political Subdivision"),"cost_service",IF($H171="Investor Owned",IF(AND(COUNTIF(Parameters!$A$4:$A$33,$G171)&gt;0,COUNTIF(Parameters!$B$4:$B$33,$B171)=0),"procurement","cost_service"),"unclassified"))))))</f>
        <v/>
      </c>
    </row>
    <row r="172">
      <c r="A172" t="n">
        <v>2024</v>
      </c>
      <c r="B172" t="n">
        <v>66333</v>
      </c>
      <c r="C172" t="inlineStr">
        <is>
          <t>Light Energy, LLC</t>
        </is>
      </c>
      <c r="D172" t="inlineStr">
        <is>
          <t>D</t>
        </is>
      </c>
      <c r="E172" t="inlineStr">
        <is>
          <t>Bundled</t>
        </is>
      </c>
      <c r="F172" t="inlineStr">
        <is>
          <t>O</t>
        </is>
      </c>
      <c r="G172" t="inlineStr">
        <is>
          <t>TX</t>
        </is>
      </c>
      <c r="H172" t="inlineStr">
        <is>
          <t>Retail Power Marketer</t>
        </is>
      </c>
      <c r="I172" t="inlineStr">
        <is>
          <t>ERCO</t>
        </is>
      </c>
      <c r="J172" t="n">
        <v>53.7</v>
      </c>
      <c r="K172" t="n">
        <v>223</v>
      </c>
      <c r="L172" t="n">
        <v>119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53.7</v>
      </c>
      <c r="W172" t="n">
        <v>223</v>
      </c>
      <c r="X172" t="n">
        <v>119</v>
      </c>
      <c r="Y172">
        <f>IF(ISNUMBER($W172),$W172,0)</f>
        <v/>
      </c>
      <c r="Z172">
        <f>IF(ISNUMBER(SEARCH("Adjustment",$C172)),"excluded",IF($H172="Behind the Meter","excluded",IF(NOT(OR($E172="Bundled",$E172="Energy")),"excluded",IF(OR($H172="Retail Power Marketer",$H172="Community Choice Aggregator",$E172="Energy"),"procurement",IF(OR($H172="Municipal",$H172="Cooperative",$H172="Federal",$H172="State",$H172="Political Subdivision"),"cost_service",IF($H172="Investor Owned",IF(AND(COUNTIF(Parameters!$A$4:$A$33,$G172)&gt;0,COUNTIF(Parameters!$B$4:$B$33,$B172)=0),"procurement","cost_service"),"unclassified"))))))</f>
        <v/>
      </c>
    </row>
    <row r="173">
      <c r="A173" t="n">
        <v>2024</v>
      </c>
      <c r="B173" t="n">
        <v>66435</v>
      </c>
      <c r="C173" t="inlineStr">
        <is>
          <t>MEMS Industrial Supply, LLC</t>
        </is>
      </c>
      <c r="D173" t="inlineStr">
        <is>
          <t>D</t>
        </is>
      </c>
      <c r="E173" t="inlineStr">
        <is>
          <t>Bundled</t>
        </is>
      </c>
      <c r="F173" t="inlineStr">
        <is>
          <t>O</t>
        </is>
      </c>
      <c r="G173" t="inlineStr">
        <is>
          <t>TX</t>
        </is>
      </c>
      <c r="H173" t="inlineStr">
        <is>
          <t>Retail Power Marketer</t>
        </is>
      </c>
      <c r="I173" t="inlineStr">
        <is>
          <t>ERCO</t>
        </is>
      </c>
      <c r="J173" t="n">
        <v>0</v>
      </c>
      <c r="K173" t="n">
        <v>0</v>
      </c>
      <c r="L173" t="n">
        <v>0</v>
      </c>
      <c r="M173" t="n">
        <v>46564.7</v>
      </c>
      <c r="N173" t="n">
        <v>1350240</v>
      </c>
      <c r="O173" t="n">
        <v>13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46564.7</v>
      </c>
      <c r="W173" t="n">
        <v>1350240</v>
      </c>
      <c r="X173" t="n">
        <v>13</v>
      </c>
      <c r="Y173">
        <f>IF(ISNUMBER($W173),$W173,0)</f>
        <v/>
      </c>
      <c r="Z173">
        <f>IF(ISNUMBER(SEARCH("Adjustment",$C173)),"excluded",IF($H173="Behind the Meter","excluded",IF(NOT(OR($E173="Bundled",$E173="Energy")),"excluded",IF(OR($H173="Retail Power Marketer",$H173="Community Choice Aggregator",$E173="Energy"),"procurement",IF(OR($H173="Municipal",$H173="Cooperative",$H173="Federal",$H173="State",$H173="Political Subdivision"),"cost_service",IF($H173="Investor Owned",IF(AND(COUNTIF(Parameters!$A$4:$A$33,$G173)&gt;0,COUNTIF(Parameters!$B$4:$B$33,$B173)=0),"procurement","cost_service"),"unclassified"))))))</f>
        <v/>
      </c>
    </row>
    <row r="174">
      <c r="A174" t="n">
        <v>2024</v>
      </c>
      <c r="B174" t="n">
        <v>66436</v>
      </c>
      <c r="C174" t="inlineStr">
        <is>
          <t>Maison Energy LLC</t>
        </is>
      </c>
      <c r="D174" t="inlineStr">
        <is>
          <t>D</t>
        </is>
      </c>
      <c r="E174" t="inlineStr">
        <is>
          <t>Bundled</t>
        </is>
      </c>
      <c r="F174" t="inlineStr">
        <is>
          <t>O</t>
        </is>
      </c>
      <c r="G174" t="inlineStr">
        <is>
          <t>TX</t>
        </is>
      </c>
      <c r="H174" t="inlineStr">
        <is>
          <t>Retail Power Marketer</t>
        </is>
      </c>
      <c r="I174" t="inlineStr">
        <is>
          <t>ERCO</t>
        </is>
      </c>
      <c r="J174" t="n">
        <v>65.90000000000001</v>
      </c>
      <c r="K174" t="n">
        <v>431</v>
      </c>
      <c r="L174" t="n">
        <v>90</v>
      </c>
      <c r="M174" t="n">
        <v>3.8</v>
      </c>
      <c r="N174" t="n">
        <v>25</v>
      </c>
      <c r="O174" t="n">
        <v>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69.7</v>
      </c>
      <c r="W174" t="n">
        <v>456</v>
      </c>
      <c r="X174" t="n">
        <v>97</v>
      </c>
      <c r="Y174">
        <f>IF(ISNUMBER($W174),$W174,0)</f>
        <v/>
      </c>
      <c r="Z174">
        <f>IF(ISNUMBER(SEARCH("Adjustment",$C174)),"excluded",IF($H174="Behind the Meter","excluded",IF(NOT(OR($E174="Bundled",$E174="Energy")),"excluded",IF(OR($H174="Retail Power Marketer",$H174="Community Choice Aggregator",$E174="Energy"),"procurement",IF(OR($H174="Municipal",$H174="Cooperative",$H174="Federal",$H174="State",$H174="Political Subdivision"),"cost_service",IF($H174="Investor Owned",IF(AND(COUNTIF(Parameters!$A$4:$A$33,$G174)&gt;0,COUNTIF(Parameters!$B$4:$B$33,$B174)=0),"procurement","cost_service"),"unclassified"))))))</f>
        <v/>
      </c>
    </row>
    <row r="175">
      <c r="A175" t="n">
        <v>2024</v>
      </c>
      <c r="B175" t="n">
        <v>66582</v>
      </c>
      <c r="C175" t="inlineStr">
        <is>
          <t>Pumpjack Power LLC</t>
        </is>
      </c>
      <c r="D175" t="inlineStr">
        <is>
          <t>D</t>
        </is>
      </c>
      <c r="E175" t="inlineStr">
        <is>
          <t>Bundled</t>
        </is>
      </c>
      <c r="F175" t="inlineStr">
        <is>
          <t>O</t>
        </is>
      </c>
      <c r="G175" t="inlineStr">
        <is>
          <t>TX</t>
        </is>
      </c>
      <c r="H175" t="inlineStr">
        <is>
          <t>Retail Power Marketer</t>
        </is>
      </c>
      <c r="I175" t="inlineStr">
        <is>
          <t>ERCO</t>
        </is>
      </c>
      <c r="J175" t="n">
        <v>0</v>
      </c>
      <c r="K175" t="n">
        <v>0</v>
      </c>
      <c r="L175" t="n">
        <v>0</v>
      </c>
      <c r="M175" t="n">
        <v>11651.8</v>
      </c>
      <c r="N175" t="n">
        <v>249968</v>
      </c>
      <c r="O175" t="n">
        <v>75</v>
      </c>
      <c r="P175" t="n">
        <v>59400.5</v>
      </c>
      <c r="Q175" t="n">
        <v>904899</v>
      </c>
      <c r="R175" t="n">
        <v>935</v>
      </c>
      <c r="S175" t="n">
        <v>0</v>
      </c>
      <c r="T175" t="n">
        <v>0</v>
      </c>
      <c r="U175" t="n">
        <v>0</v>
      </c>
      <c r="V175" t="n">
        <v>71052.3</v>
      </c>
      <c r="W175" t="n">
        <v>1154867</v>
      </c>
      <c r="X175" t="n">
        <v>1010</v>
      </c>
      <c r="Y175">
        <f>IF(ISNUMBER($W175),$W175,0)</f>
        <v/>
      </c>
      <c r="Z175">
        <f>IF(ISNUMBER(SEARCH("Adjustment",$C175)),"excluded",IF($H175="Behind the Meter","excluded",IF(NOT(OR($E175="Bundled",$E175="Energy")),"excluded",IF(OR($H175="Retail Power Marketer",$H175="Community Choice Aggregator",$E175="Energy"),"procurement",IF(OR($H175="Municipal",$H175="Cooperative",$H175="Federal",$H175="State",$H175="Political Subdivision"),"cost_service",IF($H175="Investor Owned",IF(AND(COUNTIF(Parameters!$A$4:$A$33,$G175)&gt;0,COUNTIF(Parameters!$B$4:$B$33,$B175)=0),"procurement","cost_service"),"unclassified"))))))</f>
        <v/>
      </c>
    </row>
    <row r="176">
      <c r="A176" t="n">
        <v>2024</v>
      </c>
      <c r="B176" t="n">
        <v>66851</v>
      </c>
      <c r="C176" t="inlineStr">
        <is>
          <t>Gridmatic Retail LLC</t>
        </is>
      </c>
      <c r="D176" t="inlineStr">
        <is>
          <t>D</t>
        </is>
      </c>
      <c r="E176" t="inlineStr">
        <is>
          <t>Bundled</t>
        </is>
      </c>
      <c r="F176" t="inlineStr">
        <is>
          <t>O</t>
        </is>
      </c>
      <c r="G176" t="inlineStr">
        <is>
          <t>TX</t>
        </is>
      </c>
      <c r="H176" t="inlineStr">
        <is>
          <t>Retail Power Marketer</t>
        </is>
      </c>
      <c r="I176" t="inlineStr">
        <is>
          <t>ERCO</t>
        </is>
      </c>
      <c r="J176" t="n">
        <v>0</v>
      </c>
      <c r="K176" t="n">
        <v>0</v>
      </c>
      <c r="L176" t="n">
        <v>0</v>
      </c>
      <c r="M176" t="n">
        <v>4247</v>
      </c>
      <c r="N176" t="n">
        <v>56824</v>
      </c>
      <c r="O176" t="n">
        <v>69</v>
      </c>
      <c r="P176" t="n">
        <v>151</v>
      </c>
      <c r="Q176" t="n">
        <v>1353</v>
      </c>
      <c r="R176" t="n">
        <v>4</v>
      </c>
      <c r="S176" t="n">
        <v>0</v>
      </c>
      <c r="T176" t="n">
        <v>0</v>
      </c>
      <c r="U176" t="n">
        <v>0</v>
      </c>
      <c r="V176" t="n">
        <v>4398</v>
      </c>
      <c r="W176" t="n">
        <v>58177</v>
      </c>
      <c r="X176" t="n">
        <v>73</v>
      </c>
      <c r="Y176">
        <f>IF(ISNUMBER($W176),$W176,0)</f>
        <v/>
      </c>
      <c r="Z176">
        <f>IF(ISNUMBER(SEARCH("Adjustment",$C176)),"excluded",IF($H176="Behind the Meter","excluded",IF(NOT(OR($E176="Bundled",$E176="Energy")),"excluded",IF(OR($H176="Retail Power Marketer",$H176="Community Choice Aggregator",$E176="Energy"),"procurement",IF(OR($H176="Municipal",$H176="Cooperative",$H176="Federal",$H176="State",$H176="Political Subdivision"),"cost_service",IF($H176="Investor Owned",IF(AND(COUNTIF(Parameters!$A$4:$A$33,$G176)&gt;0,COUNTIF(Parameters!$B$4:$B$33,$B176)=0),"procurement","cost_service"),"unclassified"))))))</f>
        <v/>
      </c>
    </row>
    <row r="177">
      <c r="A177" t="n">
        <v>2024</v>
      </c>
      <c r="B177" t="n">
        <v>66867</v>
      </c>
      <c r="C177" t="inlineStr">
        <is>
          <t>David Energy Supply LLC</t>
        </is>
      </c>
      <c r="D177" t="inlineStr">
        <is>
          <t>D</t>
        </is>
      </c>
      <c r="E177" t="inlineStr">
        <is>
          <t>Bundled</t>
        </is>
      </c>
      <c r="F177" t="inlineStr">
        <is>
          <t>O</t>
        </is>
      </c>
      <c r="G177" t="inlineStr">
        <is>
          <t>TX</t>
        </is>
      </c>
      <c r="H177" t="inlineStr">
        <is>
          <t>Retail Power Marketer</t>
        </is>
      </c>
      <c r="I177" t="inlineStr">
        <is>
          <t>ERCO</t>
        </is>
      </c>
      <c r="J177" t="n">
        <v>1256.9</v>
      </c>
      <c r="K177" t="n">
        <v>10770</v>
      </c>
      <c r="L177" t="n">
        <v>1267</v>
      </c>
      <c r="M177" t="n">
        <v>1683.5</v>
      </c>
      <c r="N177" t="n">
        <v>16262</v>
      </c>
      <c r="O177" t="n">
        <v>87</v>
      </c>
      <c r="P177" t="inlineStr">
        <is>
          <t>.</t>
        </is>
      </c>
      <c r="Q177" t="inlineStr">
        <is>
          <t>.</t>
        </is>
      </c>
      <c r="R177" t="inlineStr">
        <is>
          <t>.</t>
        </is>
      </c>
      <c r="S177" t="inlineStr">
        <is>
          <t>.</t>
        </is>
      </c>
      <c r="T177" t="inlineStr">
        <is>
          <t>.</t>
        </is>
      </c>
      <c r="U177" t="inlineStr">
        <is>
          <t>.</t>
        </is>
      </c>
      <c r="V177" t="n">
        <v>2940.4</v>
      </c>
      <c r="W177" t="n">
        <v>27032</v>
      </c>
      <c r="X177" t="n">
        <v>1354</v>
      </c>
      <c r="Y177">
        <f>IF(ISNUMBER($W177),$W177,0)</f>
        <v/>
      </c>
      <c r="Z177">
        <f>IF(ISNUMBER(SEARCH("Adjustment",$C177)),"excluded",IF($H177="Behind the Meter","excluded",IF(NOT(OR($E177="Bundled",$E177="Energy")),"excluded",IF(OR($H177="Retail Power Marketer",$H177="Community Choice Aggregator",$E177="Energy"),"procurement",IF(OR($H177="Municipal",$H177="Cooperative",$H177="Federal",$H177="State",$H177="Political Subdivision"),"cost_service",IF($H177="Investor Owned",IF(AND(COUNTIF(Parameters!$A$4:$A$33,$G177)&gt;0,COUNTIF(Parameters!$B$4:$B$33,$B177)=0),"procurement","cost_service"),"unclassified"))))))</f>
        <v/>
      </c>
    </row>
    <row r="178">
      <c r="A178" t="n">
        <v>2024</v>
      </c>
      <c r="B178" t="n">
        <v>67076</v>
      </c>
      <c r="C178" t="inlineStr">
        <is>
          <t>FlowX, LLC</t>
        </is>
      </c>
      <c r="D178" t="inlineStr">
        <is>
          <t>D</t>
        </is>
      </c>
      <c r="E178" t="inlineStr">
        <is>
          <t>Bundled</t>
        </is>
      </c>
      <c r="F178" t="inlineStr">
        <is>
          <t>O</t>
        </is>
      </c>
      <c r="G178" t="inlineStr">
        <is>
          <t>TX</t>
        </is>
      </c>
      <c r="H178" t="inlineStr">
        <is>
          <t>Retail Power Marketer</t>
        </is>
      </c>
      <c r="I178" t="inlineStr">
        <is>
          <t>ERCO</t>
        </is>
      </c>
      <c r="J178" t="inlineStr">
        <is>
          <t>.</t>
        </is>
      </c>
      <c r="K178" t="inlineStr">
        <is>
          <t>.</t>
        </is>
      </c>
      <c r="L178" t="inlineStr">
        <is>
          <t>.</t>
        </is>
      </c>
      <c r="M178" t="n">
        <v>4388</v>
      </c>
      <c r="N178" t="n">
        <v>149784</v>
      </c>
      <c r="O178" t="n">
        <v>2</v>
      </c>
      <c r="P178" t="inlineStr">
        <is>
          <t>.</t>
        </is>
      </c>
      <c r="Q178" t="inlineStr">
        <is>
          <t>.</t>
        </is>
      </c>
      <c r="R178" t="inlineStr">
        <is>
          <t>.</t>
        </is>
      </c>
      <c r="S178" t="inlineStr">
        <is>
          <t>.</t>
        </is>
      </c>
      <c r="T178" t="inlineStr">
        <is>
          <t>.</t>
        </is>
      </c>
      <c r="U178" t="inlineStr">
        <is>
          <t>.</t>
        </is>
      </c>
      <c r="V178" t="n">
        <v>4388</v>
      </c>
      <c r="W178" t="n">
        <v>149784</v>
      </c>
      <c r="X178" t="n">
        <v>2</v>
      </c>
      <c r="Y178">
        <f>IF(ISNUMBER($W178),$W178,0)</f>
        <v/>
      </c>
      <c r="Z178">
        <f>IF(ISNUMBER(SEARCH("Adjustment",$C178)),"excluded",IF($H178="Behind the Meter","excluded",IF(NOT(OR($E178="Bundled",$E178="Energy")),"excluded",IF(OR($H178="Retail Power Marketer",$H178="Community Choice Aggregator",$E178="Energy"),"procurement",IF(OR($H178="Municipal",$H178="Cooperative",$H178="Federal",$H178="State",$H178="Political Subdivision"),"cost_service",IF($H178="Investor Owned",IF(AND(COUNTIF(Parameters!$A$4:$A$33,$G178)&gt;0,COUNTIF(Parameters!$B$4:$B$33,$B178)=0),"procurement","cost_service"),"unclassified"))))))</f>
        <v/>
      </c>
    </row>
    <row r="179">
      <c r="A179" t="n">
        <v>2024</v>
      </c>
      <c r="B179" t="n">
        <v>67122</v>
      </c>
      <c r="C179" t="inlineStr">
        <is>
          <t>Selfserve Energy Corp.</t>
        </is>
      </c>
      <c r="D179" t="inlineStr">
        <is>
          <t>D</t>
        </is>
      </c>
      <c r="E179" t="inlineStr">
        <is>
          <t>Bundled</t>
        </is>
      </c>
      <c r="F179" t="inlineStr">
        <is>
          <t>O</t>
        </is>
      </c>
      <c r="G179" t="inlineStr">
        <is>
          <t>TX</t>
        </is>
      </c>
      <c r="H179" t="inlineStr">
        <is>
          <t>Retail Power Marketer</t>
        </is>
      </c>
      <c r="I179" t="inlineStr">
        <is>
          <t>ERCO</t>
        </is>
      </c>
      <c r="J179" t="n">
        <v>0</v>
      </c>
      <c r="K179" t="n">
        <v>0</v>
      </c>
      <c r="L179" t="n">
        <v>0</v>
      </c>
      <c r="M179" t="n">
        <v>1368.9</v>
      </c>
      <c r="N179" t="n">
        <v>44505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1368.9</v>
      </c>
      <c r="W179" t="n">
        <v>44505</v>
      </c>
      <c r="X179" t="n">
        <v>1</v>
      </c>
      <c r="Y179">
        <f>IF(ISNUMBER($W179),$W179,0)</f>
        <v/>
      </c>
      <c r="Z179">
        <f>IF(ISNUMBER(SEARCH("Adjustment",$C179)),"excluded",IF($H179="Behind the Meter","excluded",IF(NOT(OR($E179="Bundled",$E179="Energy")),"excluded",IF(OR($H179="Retail Power Marketer",$H179="Community Choice Aggregator",$E179="Energy"),"procurement",IF(OR($H179="Municipal",$H179="Cooperative",$H179="Federal",$H179="State",$H179="Political Subdivision"),"cost_service",IF($H179="Investor Owned",IF(AND(COUNTIF(Parameters!$A$4:$A$33,$G179)&gt;0,COUNTIF(Parameters!$B$4:$B$33,$B179)=0),"procurement","cost_service"),"unclassified"))))))</f>
        <v/>
      </c>
    </row>
    <row r="180">
      <c r="A180" t="n">
        <v>2024</v>
      </c>
      <c r="B180" t="n">
        <v>88888</v>
      </c>
      <c r="C180" t="inlineStr">
        <is>
          <t>Withheld</t>
        </is>
      </c>
      <c r="D180" t="inlineStr">
        <is>
          <t>D</t>
        </is>
      </c>
      <c r="E180" t="inlineStr">
        <is>
          <t>Bundled</t>
        </is>
      </c>
      <c r="F180" t="inlineStr">
        <is>
          <t>O</t>
        </is>
      </c>
      <c r="G180" t="inlineStr">
        <is>
          <t>TX</t>
        </is>
      </c>
      <c r="H180" t="inlineStr">
        <is>
          <t>Retail Power Marketer</t>
        </is>
      </c>
      <c r="I180" t="inlineStr">
        <is>
          <t>ERCO</t>
        </is>
      </c>
      <c r="J180" t="inlineStr">
        <is>
          <t>.</t>
        </is>
      </c>
      <c r="K180" t="inlineStr">
        <is>
          <t>.</t>
        </is>
      </c>
      <c r="L180" t="inlineStr">
        <is>
          <t>.</t>
        </is>
      </c>
      <c r="M180" t="inlineStr">
        <is>
          <t>.</t>
        </is>
      </c>
      <c r="N180" t="inlineStr">
        <is>
          <t>.</t>
        </is>
      </c>
      <c r="O180" t="inlineStr">
        <is>
          <t>.</t>
        </is>
      </c>
      <c r="P180" t="n">
        <v>9260</v>
      </c>
      <c r="Q180" t="n">
        <v>221996</v>
      </c>
      <c r="R180" t="n">
        <v>2</v>
      </c>
      <c r="S180" t="inlineStr">
        <is>
          <t>.</t>
        </is>
      </c>
      <c r="T180" t="inlineStr">
        <is>
          <t>.</t>
        </is>
      </c>
      <c r="U180" t="inlineStr">
        <is>
          <t>.</t>
        </is>
      </c>
      <c r="V180" t="n">
        <v>9260</v>
      </c>
      <c r="W180" t="n">
        <v>221996</v>
      </c>
      <c r="X180" t="n">
        <v>2</v>
      </c>
      <c r="Y180">
        <f>IF(ISNUMBER($W180),$W180,0)</f>
        <v/>
      </c>
      <c r="Z180">
        <f>IF(ISNUMBER(SEARCH("Adjustment",$C180)),"excluded",IF($H180="Behind the Meter","excluded",IF(NOT(OR($E180="Bundled",$E180="Energy")),"excluded",IF(OR($H180="Retail Power Marketer",$H180="Community Choice Aggregator",$E180="Energy"),"procurement",IF(OR($H180="Municipal",$H180="Cooperative",$H180="Federal",$H180="State",$H180="Political Subdivision"),"cost_service",IF($H180="Investor Owned",IF(AND(COUNTIF(Parameters!$A$4:$A$33,$G180)&gt;0,COUNTIF(Parameters!$B$4:$B$33,$B180)=0),"procurement","cost_service"),"unclassified"))))))</f>
        <v/>
      </c>
    </row>
    <row r="181">
      <c r="A181" t="n">
        <v>2024</v>
      </c>
      <c r="B181" t="n">
        <v>88888</v>
      </c>
      <c r="C181" t="inlineStr">
        <is>
          <t>Withheld</t>
        </is>
      </c>
      <c r="D181" t="inlineStr">
        <is>
          <t>D</t>
        </is>
      </c>
      <c r="E181" t="inlineStr">
        <is>
          <t>Bundled</t>
        </is>
      </c>
      <c r="F181" t="inlineStr">
        <is>
          <t>O</t>
        </is>
      </c>
      <c r="G181" t="inlineStr">
        <is>
          <t>TX</t>
        </is>
      </c>
      <c r="H181" t="inlineStr">
        <is>
          <t>Retail Power Marketer</t>
        </is>
      </c>
      <c r="I181" t="inlineStr">
        <is>
          <t>ERCO</t>
        </is>
      </c>
      <c r="J181" t="inlineStr">
        <is>
          <t>.</t>
        </is>
      </c>
      <c r="K181" t="inlineStr">
        <is>
          <t>.</t>
        </is>
      </c>
      <c r="L181" t="inlineStr">
        <is>
          <t>.</t>
        </is>
      </c>
      <c r="M181" t="inlineStr">
        <is>
          <t>.</t>
        </is>
      </c>
      <c r="N181" t="inlineStr">
        <is>
          <t>.</t>
        </is>
      </c>
      <c r="O181" t="inlineStr">
        <is>
          <t>.</t>
        </is>
      </c>
      <c r="P181" t="n">
        <v>135342</v>
      </c>
      <c r="Q181" t="n">
        <v>3167844</v>
      </c>
      <c r="R181" t="n">
        <v>11</v>
      </c>
      <c r="S181" t="inlineStr">
        <is>
          <t>.</t>
        </is>
      </c>
      <c r="T181" t="inlineStr">
        <is>
          <t>.</t>
        </is>
      </c>
      <c r="U181" t="inlineStr">
        <is>
          <t>.</t>
        </is>
      </c>
      <c r="V181" t="n">
        <v>135342</v>
      </c>
      <c r="W181" t="n">
        <v>3167844</v>
      </c>
      <c r="X181" t="n">
        <v>11</v>
      </c>
      <c r="Y181">
        <f>IF(ISNUMBER($W181),$W181,0)</f>
        <v/>
      </c>
      <c r="Z181">
        <f>IF(ISNUMBER(SEARCH("Adjustment",$C181)),"excluded",IF($H181="Behind the Meter","excluded",IF(NOT(OR($E181="Bundled",$E181="Energy")),"excluded",IF(OR($H181="Retail Power Marketer",$H181="Community Choice Aggregator",$E181="Energy"),"procurement",IF(OR($H181="Municipal",$H181="Cooperative",$H181="Federal",$H181="State",$H181="Political Subdivision"),"cost_service",IF($H181="Investor Owned",IF(AND(COUNTIF(Parameters!$A$4:$A$33,$G181)&gt;0,COUNTIF(Parameters!$B$4:$B$33,$B181)=0),"procurement","cost_service"),"unclassified"))))))</f>
        <v/>
      </c>
    </row>
    <row r="182">
      <c r="A182" t="n">
        <v>2024</v>
      </c>
      <c r="B182" t="n">
        <v>88888</v>
      </c>
      <c r="C182" t="inlineStr">
        <is>
          <t>Withheld</t>
        </is>
      </c>
      <c r="D182" t="inlineStr">
        <is>
          <t>D</t>
        </is>
      </c>
      <c r="E182" t="inlineStr">
        <is>
          <t>Bundled</t>
        </is>
      </c>
      <c r="F182" t="inlineStr">
        <is>
          <t>O</t>
        </is>
      </c>
      <c r="G182" t="inlineStr">
        <is>
          <t>TX</t>
        </is>
      </c>
      <c r="H182" t="inlineStr">
        <is>
          <t>Retail Power Marketer</t>
        </is>
      </c>
      <c r="I182" t="inlineStr">
        <is>
          <t>ERCO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100686</v>
      </c>
      <c r="Q182" t="n">
        <v>2385999</v>
      </c>
      <c r="R182" t="n">
        <v>14</v>
      </c>
      <c r="S182" t="n">
        <v>0</v>
      </c>
      <c r="T182" t="n">
        <v>0</v>
      </c>
      <c r="U182" t="n">
        <v>0</v>
      </c>
      <c r="V182" t="n">
        <v>100686</v>
      </c>
      <c r="W182" t="n">
        <v>2385999</v>
      </c>
      <c r="X182" t="n">
        <v>14</v>
      </c>
      <c r="Y182">
        <f>IF(ISNUMBER($W182),$W182,0)</f>
        <v/>
      </c>
      <c r="Z182">
        <f>IF(ISNUMBER(SEARCH("Adjustment",$C182)),"excluded",IF($H182="Behind the Meter","excluded",IF(NOT(OR($E182="Bundled",$E182="Energy")),"excluded",IF(OR($H182="Retail Power Marketer",$H182="Community Choice Aggregator",$E182="Energy"),"procurement",IF(OR($H182="Municipal",$H182="Cooperative",$H182="Federal",$H182="State",$H182="Political Subdivision"),"cost_service",IF($H182="Investor Owned",IF(AND(COUNTIF(Parameters!$A$4:$A$33,$G182)&gt;0,COUNTIF(Parameters!$B$4:$B$33,$B182)=0),"procurement","cost_service"),"unclassified"))))))</f>
        <v/>
      </c>
    </row>
    <row r="183">
      <c r="A183" t="n">
        <v>2024</v>
      </c>
      <c r="B183" t="n">
        <v>99999</v>
      </c>
      <c r="C183" t="inlineStr">
        <is>
          <t>Adjustment 2024</t>
        </is>
      </c>
      <c r="D183" t="inlineStr">
        <is>
          <t>A</t>
        </is>
      </c>
      <c r="E183" t="inlineStr">
        <is>
          <t>Bundled</t>
        </is>
      </c>
      <c r="F183" t="inlineStr">
        <is>
          <t>I</t>
        </is>
      </c>
      <c r="G183" t="inlineStr">
        <is>
          <t>TX</t>
        </is>
      </c>
      <c r="H183" t="inlineStr"/>
      <c r="I183" t="inlineStr">
        <is>
          <t>EPE</t>
        </is>
      </c>
      <c r="J183" t="n">
        <v>0</v>
      </c>
      <c r="K183" t="n">
        <v>0</v>
      </c>
      <c r="L183" t="n">
        <v>-1218</v>
      </c>
      <c r="M183" t="n">
        <v>0</v>
      </c>
      <c r="N183" t="n">
        <v>0</v>
      </c>
      <c r="O183" t="n">
        <v>-2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-1220</v>
      </c>
      <c r="Y183">
        <f>IF(ISNUMBER($W183),$W183,0)</f>
        <v/>
      </c>
      <c r="Z183">
        <f>IF(ISNUMBER(SEARCH("Adjustment",$C183)),"excluded",IF($H183="Behind the Meter","excluded",IF(NOT(OR($E183="Bundled",$E183="Energy")),"excluded",IF(OR($H183="Retail Power Marketer",$H183="Community Choice Aggregator",$E183="Energy"),"procurement",IF(OR($H183="Municipal",$H183="Cooperative",$H183="Federal",$H183="State",$H183="Political Subdivision"),"cost_service",IF($H183="Investor Owned",IF(AND(COUNTIF(Parameters!$A$4:$A$33,$G183)&gt;0,COUNTIF(Parameters!$B$4:$B$33,$B183)=0),"procurement","cost_service"),"unclassified"))))))</f>
        <v/>
      </c>
    </row>
    <row r="184">
      <c r="A184" t="n">
        <v>2024</v>
      </c>
      <c r="B184" t="n">
        <v>99999</v>
      </c>
      <c r="C184" t="inlineStr">
        <is>
          <t>Adjustment 2024</t>
        </is>
      </c>
      <c r="D184" t="inlineStr">
        <is>
          <t>A</t>
        </is>
      </c>
      <c r="E184" t="inlineStr">
        <is>
          <t>Bundled</t>
        </is>
      </c>
      <c r="F184" t="inlineStr">
        <is>
          <t>I</t>
        </is>
      </c>
      <c r="G184" t="inlineStr">
        <is>
          <t>TX</t>
        </is>
      </c>
      <c r="H184" t="inlineStr"/>
      <c r="I184" t="inlineStr">
        <is>
          <t>ERCO</t>
        </is>
      </c>
      <c r="J184" t="n">
        <v>165403.9</v>
      </c>
      <c r="K184" t="n">
        <v>1318185</v>
      </c>
      <c r="L184" t="n">
        <v>81631</v>
      </c>
      <c r="M184" t="n">
        <v>165471.1</v>
      </c>
      <c r="N184" t="n">
        <v>2983246</v>
      </c>
      <c r="O184" t="n">
        <v>23015</v>
      </c>
      <c r="P184" t="n">
        <v>277419.7</v>
      </c>
      <c r="Q184" t="n">
        <v>8766007</v>
      </c>
      <c r="R184" t="n">
        <v>528</v>
      </c>
      <c r="S184" t="n">
        <v>0</v>
      </c>
      <c r="T184" t="n">
        <v>0</v>
      </c>
      <c r="U184" t="n">
        <v>0</v>
      </c>
      <c r="V184" t="n">
        <v>608294.7</v>
      </c>
      <c r="W184" t="n">
        <v>13067438</v>
      </c>
      <c r="X184" t="n">
        <v>105174</v>
      </c>
      <c r="Y184">
        <f>IF(ISNUMBER($W184),$W184,0)</f>
        <v/>
      </c>
      <c r="Z184">
        <f>IF(ISNUMBER(SEARCH("Adjustment",$C184)),"excluded",IF($H184="Behind the Meter","excluded",IF(NOT(OR($E184="Bundled",$E184="Energy")),"excluded",IF(OR($H184="Retail Power Marketer",$H184="Community Choice Aggregator",$E184="Energy"),"procurement",IF(OR($H184="Municipal",$H184="Cooperative",$H184="Federal",$H184="State",$H184="Political Subdivision"),"cost_service",IF($H184="Investor Owned",IF(AND(COUNTIF(Parameters!$A$4:$A$33,$G184)&gt;0,COUNTIF(Parameters!$B$4:$B$33,$B184)=0),"procurement","cost_service"),"unclassified"))))))</f>
        <v/>
      </c>
    </row>
    <row r="185">
      <c r="A185" t="n">
        <v>2024</v>
      </c>
      <c r="B185" t="n">
        <v>99999</v>
      </c>
      <c r="C185" t="inlineStr">
        <is>
          <t>Adjustment 2024</t>
        </is>
      </c>
      <c r="D185" t="inlineStr">
        <is>
          <t>A</t>
        </is>
      </c>
      <c r="E185" t="inlineStr">
        <is>
          <t>Bundled</t>
        </is>
      </c>
      <c r="F185" t="inlineStr">
        <is>
          <t>I</t>
        </is>
      </c>
      <c r="G185" t="inlineStr">
        <is>
          <t>TX</t>
        </is>
      </c>
      <c r="H185" t="inlineStr"/>
      <c r="I185" t="inlineStr">
        <is>
          <t>MISO</t>
        </is>
      </c>
      <c r="J185" t="n">
        <v>18895.2</v>
      </c>
      <c r="K185" t="n">
        <v>157308</v>
      </c>
      <c r="L185" t="n">
        <v>13911</v>
      </c>
      <c r="M185" t="n">
        <v>25295.8</v>
      </c>
      <c r="N185" t="n">
        <v>248711</v>
      </c>
      <c r="O185" t="n">
        <v>4436</v>
      </c>
      <c r="P185" t="n">
        <v>21158.7</v>
      </c>
      <c r="Q185" t="n">
        <v>126578</v>
      </c>
      <c r="R185" t="n">
        <v>23</v>
      </c>
      <c r="S185" t="n">
        <v>0</v>
      </c>
      <c r="T185" t="n">
        <v>0</v>
      </c>
      <c r="U185" t="n">
        <v>0</v>
      </c>
      <c r="V185" t="n">
        <v>65349.7</v>
      </c>
      <c r="W185" t="n">
        <v>532597</v>
      </c>
      <c r="X185" t="n">
        <v>18370</v>
      </c>
      <c r="Y185">
        <f>IF(ISNUMBER($W185),$W185,0)</f>
        <v/>
      </c>
      <c r="Z185">
        <f>IF(ISNUMBER(SEARCH("Adjustment",$C185)),"excluded",IF($H185="Behind the Meter","excluded",IF(NOT(OR($E185="Bundled",$E185="Energy")),"excluded",IF(OR($H185="Retail Power Marketer",$H185="Community Choice Aggregator",$E185="Energy"),"procurement",IF(OR($H185="Municipal",$H185="Cooperative",$H185="Federal",$H185="State",$H185="Political Subdivision"),"cost_service",IF($H185="Investor Owned",IF(AND(COUNTIF(Parameters!$A$4:$A$33,$G185)&gt;0,COUNTIF(Parameters!$B$4:$B$33,$B185)=0),"procurement","cost_service"),"unclassified"))))))</f>
        <v/>
      </c>
    </row>
    <row r="186">
      <c r="A186" t="n">
        <v>2024</v>
      </c>
      <c r="B186" t="n">
        <v>99999</v>
      </c>
      <c r="C186" t="inlineStr">
        <is>
          <t>Adjustment 2024</t>
        </is>
      </c>
      <c r="D186" t="inlineStr">
        <is>
          <t>A</t>
        </is>
      </c>
      <c r="E186" t="inlineStr">
        <is>
          <t>Bundled</t>
        </is>
      </c>
      <c r="F186" t="inlineStr">
        <is>
          <t>I</t>
        </is>
      </c>
      <c r="G186" t="inlineStr">
        <is>
          <t>TX</t>
        </is>
      </c>
      <c r="H186" t="inlineStr"/>
      <c r="I186" t="inlineStr">
        <is>
          <t>SWPP</t>
        </is>
      </c>
      <c r="J186" t="n">
        <v>17002.8</v>
      </c>
      <c r="K186" t="n">
        <v>123796</v>
      </c>
      <c r="L186" t="n">
        <v>12770</v>
      </c>
      <c r="M186" t="n">
        <v>15425.7</v>
      </c>
      <c r="N186" t="n">
        <v>132949</v>
      </c>
      <c r="O186" t="n">
        <v>2909</v>
      </c>
      <c r="P186" t="n">
        <v>12599.2</v>
      </c>
      <c r="Q186" t="n">
        <v>121185</v>
      </c>
      <c r="R186" t="n">
        <v>4096</v>
      </c>
      <c r="S186" t="n">
        <v>0</v>
      </c>
      <c r="T186" t="n">
        <v>0</v>
      </c>
      <c r="U186" t="n">
        <v>0</v>
      </c>
      <c r="V186" t="n">
        <v>45027.7</v>
      </c>
      <c r="W186" t="n">
        <v>377930</v>
      </c>
      <c r="X186" t="n">
        <v>19775</v>
      </c>
      <c r="Y186">
        <f>IF(ISNUMBER($W186),$W186,0)</f>
        <v/>
      </c>
      <c r="Z186">
        <f>IF(ISNUMBER(SEARCH("Adjustment",$C186)),"excluded",IF($H186="Behind the Meter","excluded",IF(NOT(OR($E186="Bundled",$E186="Energy")),"excluded",IF(OR($H186="Retail Power Marketer",$H186="Community Choice Aggregator",$E186="Energy"),"procurement",IF(OR($H186="Municipal",$H186="Cooperative",$H186="Federal",$H186="State",$H186="Political Subdivision"),"cost_service",IF($H186="Investor Owned",IF(AND(COUNTIF(Parameters!$A$4:$A$33,$G186)&gt;0,COUNTIF(Parameters!$B$4:$B$33,$B186)=0),"procurement","cost_service"),"unclassified"))))))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TX</t>
        </is>
      </c>
      <c r="B2">
        <f>SUMIFS('EIA-861 Sales 2024'!$Y$4:$Y$186,'EIA-861 Sales 2024'!$Z$4:$Z$186,"cost_service")</f>
        <v/>
      </c>
      <c r="C2">
        <f>SUMIFS('EIA-861 Sales 2024'!$Y$4:$Y$186,'EIA-861 Sales 2024'!$Z$4:$Z$186,"procurement")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