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TX\trans\BPHEVSP\"/>
    </mc:Choice>
  </mc:AlternateContent>
  <xr:revisionPtr revIDLastSave="0" documentId="8_{A0769E58-1826-4BF4-B8E8-8B1332EE1378}"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H33" i="14"/>
  <c r="C33" i="14"/>
  <c r="C38" i="14" s="1"/>
  <c r="F33" i="14"/>
  <c r="G33" i="14"/>
  <c r="I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<sst xmlns="http://schemas.openxmlformats.org/spreadsheetml/2006/main" count="374" uniqueCount="193">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</sst>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179</v>
      </c>
      <c r="C1" s="32">
        <v>45051</v>
      </c>
      <c r="F1" s="29" t="s">
        <v>8</v>
      </c>
      <c r="G1" s="29" t="s">
        <v>8</v>
      </c>
    </row>
    <row r="2" spans="1:7" x14ac:dyDescent="0.75">
      <c r="B2" s="30" t="str">
        <f>LOOKUP(B1,F2:G51,G2:G51)</f>
        <v>TX</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TX</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2500</v>
      </c>
      <c r="D33" s="2">
        <f t="shared" ref="D33:I33" si="1">SUMIFS(E$13:E$26,$A$13:$A$26,$B$31)</f>
        <v>2500</v>
      </c>
      <c r="E33" s="2">
        <f t="shared" si="1"/>
        <v>2500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8863.301826628478</v>
      </c>
      <c r="D38" s="2">
        <f>(B3+D33)*About!$B$33</f>
        <v>8870.4951956339028</v>
      </c>
      <c r="E38" s="2">
        <f>(C3+E33)*About!$B$33</f>
        <v>5834.8273717135789</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0.24028904805694512</v>
      </c>
      <c r="D45" s="7">
        <f t="shared" ref="D45:AG45" si="3">D38/C41</f>
        <v>0.23757921621003034</v>
      </c>
      <c r="E45" s="7">
        <f t="shared" si="3"/>
        <v>0.15630816179682228</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8863.301826628478</v>
      </c>
      <c r="C2" s="9">
        <f>Summary!D38</f>
        <v>8870.4951956339028</v>
      </c>
      <c r="D2" s="9">
        <f>Summary!E38</f>
        <v>5834.8273717135789</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2023-05-05T22:37:22Z</dcterms:modified>
</cp:coreProperties>
</file>