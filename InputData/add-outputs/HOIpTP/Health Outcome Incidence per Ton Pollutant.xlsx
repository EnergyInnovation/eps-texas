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TX\add-outputs\HOIpTP\"/>
    </mc:Choice>
  </mc:AlternateContent>
  <xr:revisionPtr revIDLastSave="0" documentId="8_{A51BEEF6-95C5-4644-98A3-F118F1F9022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B13" i="19"/>
  <c r="J13" i="19" s="1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B7" i="19"/>
  <c r="AA7" i="19" s="1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Q3" i="19"/>
  <c r="J3" i="19"/>
  <c r="F3" i="19"/>
  <c r="E3" i="19"/>
  <c r="B3" i="19"/>
  <c r="O3" i="19" s="1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Q15" i="18"/>
  <c r="D15" i="18"/>
  <c r="B15" i="18"/>
  <c r="C15" i="18" s="1"/>
  <c r="AA14" i="18"/>
  <c r="Y14" i="18"/>
  <c r="U14" i="18"/>
  <c r="R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M8" i="18"/>
  <c r="F8" i="18"/>
  <c r="B8" i="18"/>
  <c r="W8" i="18" s="1"/>
  <c r="AB7" i="18"/>
  <c r="H7" i="18"/>
  <c r="D7" i="18"/>
  <c r="C7" i="18"/>
  <c r="B7" i="18"/>
  <c r="AA7" i="18" s="1"/>
  <c r="AA6" i="18"/>
  <c r="X6" i="18"/>
  <c r="P6" i="18"/>
  <c r="O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P3" i="18"/>
  <c r="I3" i="18"/>
  <c r="B3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AA17" i="17"/>
  <c r="Y17" i="17"/>
  <c r="X17" i="17"/>
  <c r="R17" i="17"/>
  <c r="Q17" i="17"/>
  <c r="E17" i="17"/>
  <c r="B17" i="17"/>
  <c r="Z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B15" i="17"/>
  <c r="M15" i="17" s="1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Y12" i="17"/>
  <c r="T12" i="17"/>
  <c r="R12" i="17"/>
  <c r="O12" i="17"/>
  <c r="M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O8" i="17"/>
  <c r="F8" i="17"/>
  <c r="D8" i="17"/>
  <c r="C8" i="17"/>
  <c r="B8" i="17"/>
  <c r="AB8" i="17" s="1"/>
  <c r="B7" i="17"/>
  <c r="T7" i="17" s="1"/>
  <c r="E6" i="17"/>
  <c r="B6" i="17"/>
  <c r="C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V17" i="16"/>
  <c r="H17" i="16"/>
  <c r="G17" i="16"/>
  <c r="B17" i="16"/>
  <c r="U17" i="16" s="1"/>
  <c r="B16" i="16"/>
  <c r="AA15" i="16"/>
  <c r="X15" i="16"/>
  <c r="K15" i="16"/>
  <c r="B15" i="16"/>
  <c r="Y15" i="16" s="1"/>
  <c r="G14" i="16"/>
  <c r="B14" i="16"/>
  <c r="AB14" i="16" s="1"/>
  <c r="X13" i="16"/>
  <c r="W13" i="16"/>
  <c r="J13" i="16"/>
  <c r="D13" i="16"/>
  <c r="B13" i="16"/>
  <c r="Y12" i="16"/>
  <c r="X12" i="16"/>
  <c r="I12" i="16"/>
  <c r="C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Y7" i="16"/>
  <c r="X7" i="16"/>
  <c r="V7" i="16"/>
  <c r="T7" i="16"/>
  <c r="S7" i="16"/>
  <c r="R7" i="16"/>
  <c r="O7" i="16"/>
  <c r="H7" i="16"/>
  <c r="C7" i="16"/>
  <c r="B7" i="16"/>
  <c r="Z7" i="16" s="1"/>
  <c r="W6" i="16"/>
  <c r="T6" i="16"/>
  <c r="S6" i="16"/>
  <c r="Q6" i="16"/>
  <c r="N6" i="16"/>
  <c r="M6" i="16"/>
  <c r="L6" i="16"/>
  <c r="J6" i="16"/>
  <c r="I6" i="16"/>
  <c r="E6" i="16"/>
  <c r="B6" i="16"/>
  <c r="Z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X3" i="16"/>
  <c r="W3" i="16"/>
  <c r="T3" i="16"/>
  <c r="R3" i="16"/>
  <c r="O3" i="16"/>
  <c r="C3" i="16"/>
  <c r="B3" i="16"/>
  <c r="Z3" i="16" s="1"/>
  <c r="B2" i="16"/>
  <c r="T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S15" i="15"/>
  <c r="I15" i="15"/>
  <c r="E15" i="15"/>
  <c r="C15" i="15"/>
  <c r="B15" i="15"/>
  <c r="K15" i="15" s="1"/>
  <c r="AB14" i="15"/>
  <c r="O14" i="15"/>
  <c r="N14" i="15"/>
  <c r="M14" i="15"/>
  <c r="D14" i="15"/>
  <c r="B14" i="15"/>
  <c r="E14" i="15" s="1"/>
  <c r="W13" i="15"/>
  <c r="V13" i="15"/>
  <c r="T13" i="15"/>
  <c r="S13" i="15"/>
  <c r="R13" i="15"/>
  <c r="Q13" i="15"/>
  <c r="O13" i="15"/>
  <c r="N13" i="15"/>
  <c r="L13" i="15"/>
  <c r="K13" i="15"/>
  <c r="J13" i="15"/>
  <c r="I13" i="15"/>
  <c r="H13" i="15"/>
  <c r="G13" i="15"/>
  <c r="F13" i="15"/>
  <c r="D13" i="15"/>
  <c r="C13" i="15"/>
  <c r="B13" i="15"/>
  <c r="P13" i="15" s="1"/>
  <c r="X12" i="15"/>
  <c r="T12" i="15"/>
  <c r="R12" i="15"/>
  <c r="Q12" i="15"/>
  <c r="P12" i="15"/>
  <c r="N12" i="15"/>
  <c r="M12" i="15"/>
  <c r="L12" i="15"/>
  <c r="K12" i="15"/>
  <c r="J12" i="15"/>
  <c r="I12" i="15"/>
  <c r="H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Z8" i="15"/>
  <c r="K8" i="15"/>
  <c r="J8" i="15"/>
  <c r="H8" i="15"/>
  <c r="F8" i="15"/>
  <c r="D8" i="15"/>
  <c r="B8" i="15"/>
  <c r="AB7" i="15"/>
  <c r="S7" i="15"/>
  <c r="N7" i="15"/>
  <c r="M7" i="15"/>
  <c r="I7" i="15"/>
  <c r="H7" i="15"/>
  <c r="B7" i="15"/>
  <c r="AA7" i="15" s="1"/>
  <c r="AB6" i="15"/>
  <c r="AA6" i="15"/>
  <c r="V6" i="15"/>
  <c r="U6" i="15"/>
  <c r="T6" i="15"/>
  <c r="S6" i="15"/>
  <c r="R6" i="15"/>
  <c r="Q6" i="15"/>
  <c r="P6" i="15"/>
  <c r="O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B3" i="15"/>
  <c r="AA2" i="15"/>
  <c r="S2" i="15"/>
  <c r="N2" i="15"/>
  <c r="M2" i="15"/>
  <c r="L2" i="15"/>
  <c r="J2" i="15"/>
  <c r="H2" i="15"/>
  <c r="G2" i="15"/>
  <c r="F2" i="15"/>
  <c r="D2" i="15"/>
  <c r="B2" i="15"/>
  <c r="I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B17" i="14"/>
  <c r="M17" i="14" s="1"/>
  <c r="H16" i="14"/>
  <c r="B16" i="14"/>
  <c r="Z15" i="14"/>
  <c r="W15" i="14"/>
  <c r="V15" i="14"/>
  <c r="U15" i="14"/>
  <c r="S15" i="14"/>
  <c r="R15" i="14"/>
  <c r="Q15" i="14"/>
  <c r="P15" i="14"/>
  <c r="O15" i="14"/>
  <c r="N15" i="14"/>
  <c r="M15" i="14"/>
  <c r="K15" i="14"/>
  <c r="J15" i="14"/>
  <c r="I15" i="14"/>
  <c r="H15" i="14"/>
  <c r="F15" i="14"/>
  <c r="C15" i="14"/>
  <c r="B15" i="14"/>
  <c r="X15" i="14" s="1"/>
  <c r="AB14" i="14"/>
  <c r="S14" i="14"/>
  <c r="R14" i="14"/>
  <c r="B14" i="14"/>
  <c r="Y14" i="14" s="1"/>
  <c r="K13" i="14"/>
  <c r="B13" i="14"/>
  <c r="B12" i="14"/>
  <c r="E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B7" i="14"/>
  <c r="X7" i="14" s="1"/>
  <c r="AA6" i="14"/>
  <c r="X6" i="14"/>
  <c r="W6" i="14"/>
  <c r="T6" i="14"/>
  <c r="S6" i="14"/>
  <c r="R6" i="14"/>
  <c r="Q6" i="14"/>
  <c r="P6" i="14"/>
  <c r="N6" i="14"/>
  <c r="M6" i="14"/>
  <c r="K6" i="14"/>
  <c r="H6" i="14"/>
  <c r="B6" i="14"/>
  <c r="U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B3" i="14"/>
  <c r="D3" i="14" s="1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U16" i="13"/>
  <c r="T16" i="13"/>
  <c r="H16" i="13"/>
  <c r="G16" i="13"/>
  <c r="B16" i="13"/>
  <c r="AA16" i="13" s="1"/>
  <c r="AB15" i="13"/>
  <c r="AA15" i="13"/>
  <c r="D15" i="13"/>
  <c r="B15" i="13"/>
  <c r="Z15" i="13" s="1"/>
  <c r="AA14" i="13"/>
  <c r="W14" i="13"/>
  <c r="V14" i="13"/>
  <c r="L14" i="13"/>
  <c r="K14" i="13"/>
  <c r="J14" i="13"/>
  <c r="E14" i="13"/>
  <c r="B14" i="13"/>
  <c r="S14" i="13" s="1"/>
  <c r="G13" i="13"/>
  <c r="B13" i="13"/>
  <c r="W12" i="13"/>
  <c r="V12" i="13"/>
  <c r="U12" i="13"/>
  <c r="R12" i="13"/>
  <c r="O12" i="13"/>
  <c r="L12" i="13"/>
  <c r="H12" i="13"/>
  <c r="B12" i="13"/>
  <c r="T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V8" i="13"/>
  <c r="U8" i="13"/>
  <c r="T8" i="13"/>
  <c r="R8" i="13"/>
  <c r="Q8" i="13"/>
  <c r="K8" i="13"/>
  <c r="J8" i="13"/>
  <c r="G8" i="13"/>
  <c r="F8" i="13"/>
  <c r="D8" i="13"/>
  <c r="B8" i="13"/>
  <c r="AA8" i="13" s="1"/>
  <c r="B7" i="13"/>
  <c r="AB7" i="13" s="1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I3" i="13"/>
  <c r="C3" i="13"/>
  <c r="B3" i="13"/>
  <c r="AB2" i="13"/>
  <c r="Z2" i="13"/>
  <c r="Y2" i="13"/>
  <c r="X2" i="13"/>
  <c r="V2" i="13"/>
  <c r="Q2" i="13"/>
  <c r="O2" i="13"/>
  <c r="M2" i="13"/>
  <c r="F2" i="13"/>
  <c r="E2" i="13"/>
  <c r="C2" i="13"/>
  <c r="B2" i="13"/>
  <c r="R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B17" i="12"/>
  <c r="O17" i="12" s="1"/>
  <c r="AB16" i="12"/>
  <c r="AA16" i="12"/>
  <c r="Z16" i="12"/>
  <c r="J16" i="12"/>
  <c r="C16" i="12"/>
  <c r="B16" i="12"/>
  <c r="AB15" i="12"/>
  <c r="Z15" i="12"/>
  <c r="S15" i="12"/>
  <c r="R15" i="12"/>
  <c r="O15" i="12"/>
  <c r="N15" i="12"/>
  <c r="M15" i="12"/>
  <c r="K15" i="12"/>
  <c r="J15" i="12"/>
  <c r="I15" i="12"/>
  <c r="G15" i="12"/>
  <c r="B15" i="12"/>
  <c r="Q15" i="12" s="1"/>
  <c r="V14" i="12"/>
  <c r="K14" i="12"/>
  <c r="B14" i="12"/>
  <c r="B13" i="12"/>
  <c r="AB12" i="12"/>
  <c r="AA12" i="12"/>
  <c r="Z12" i="12"/>
  <c r="H12" i="12"/>
  <c r="B12" i="12"/>
  <c r="C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Y8" i="12"/>
  <c r="X8" i="12"/>
  <c r="V8" i="12"/>
  <c r="S8" i="12"/>
  <c r="J8" i="12"/>
  <c r="H8" i="12"/>
  <c r="F8" i="12"/>
  <c r="D8" i="12"/>
  <c r="C8" i="12"/>
  <c r="B8" i="12"/>
  <c r="B7" i="12"/>
  <c r="W7" i="12" s="1"/>
  <c r="F6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U3" i="12"/>
  <c r="T3" i="12"/>
  <c r="P3" i="12"/>
  <c r="N3" i="12"/>
  <c r="L3" i="12"/>
  <c r="K3" i="12"/>
  <c r="J3" i="12"/>
  <c r="I3" i="12"/>
  <c r="G3" i="12"/>
  <c r="F3" i="12"/>
  <c r="B3" i="12"/>
  <c r="M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D17" i="11"/>
  <c r="C17" i="11"/>
  <c r="B17" i="11"/>
  <c r="J17" i="11" s="1"/>
  <c r="AB16" i="11"/>
  <c r="Y16" i="11"/>
  <c r="W16" i="11"/>
  <c r="V16" i="11"/>
  <c r="D16" i="11"/>
  <c r="B16" i="11"/>
  <c r="AA16" i="11" s="1"/>
  <c r="B15" i="11"/>
  <c r="W15" i="11" s="1"/>
  <c r="AB14" i="11"/>
  <c r="W14" i="11"/>
  <c r="V14" i="11"/>
  <c r="U14" i="11"/>
  <c r="T14" i="11"/>
  <c r="O14" i="11"/>
  <c r="N14" i="11"/>
  <c r="B14" i="11"/>
  <c r="X14" i="11" s="1"/>
  <c r="AA13" i="11"/>
  <c r="Z13" i="11"/>
  <c r="Y13" i="11"/>
  <c r="X13" i="11"/>
  <c r="V13" i="11"/>
  <c r="U13" i="11"/>
  <c r="R13" i="11"/>
  <c r="M13" i="11"/>
  <c r="L13" i="11"/>
  <c r="J13" i="11"/>
  <c r="B13" i="11"/>
  <c r="AB13" i="11" s="1"/>
  <c r="AB12" i="11"/>
  <c r="T12" i="11"/>
  <c r="P12" i="11"/>
  <c r="L12" i="11"/>
  <c r="K12" i="11"/>
  <c r="J12" i="11"/>
  <c r="G12" i="11"/>
  <c r="F12" i="11"/>
  <c r="E12" i="11"/>
  <c r="B12" i="11"/>
  <c r="O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B8" i="11"/>
  <c r="AB7" i="11"/>
  <c r="AA7" i="11"/>
  <c r="Z7" i="11"/>
  <c r="X7" i="11"/>
  <c r="V7" i="11"/>
  <c r="U7" i="11"/>
  <c r="S7" i="11"/>
  <c r="P7" i="11"/>
  <c r="K7" i="11"/>
  <c r="J7" i="11"/>
  <c r="I7" i="11"/>
  <c r="G7" i="11"/>
  <c r="E7" i="11"/>
  <c r="D7" i="11"/>
  <c r="B7" i="11"/>
  <c r="X6" i="11"/>
  <c r="T6" i="11"/>
  <c r="R6" i="11"/>
  <c r="Q6" i="11"/>
  <c r="P6" i="11"/>
  <c r="O6" i="11"/>
  <c r="L6" i="11"/>
  <c r="J6" i="11"/>
  <c r="I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S3" i="11"/>
  <c r="R3" i="11"/>
  <c r="Q3" i="11"/>
  <c r="P3" i="11"/>
  <c r="M3" i="11"/>
  <c r="L3" i="11"/>
  <c r="I3" i="11"/>
  <c r="H3" i="11"/>
  <c r="E3" i="11"/>
  <c r="D3" i="11"/>
  <c r="C3" i="11"/>
  <c r="B3" i="11"/>
  <c r="U3" i="11" s="1"/>
  <c r="I2" i="11"/>
  <c r="G2" i="11"/>
  <c r="B2" i="11"/>
  <c r="Q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Z15" i="10"/>
  <c r="Y15" i="10"/>
  <c r="W15" i="10"/>
  <c r="V15" i="10"/>
  <c r="U15" i="10"/>
  <c r="T15" i="10"/>
  <c r="R15" i="10"/>
  <c r="Q15" i="10"/>
  <c r="P15" i="10"/>
  <c r="O15" i="10"/>
  <c r="N15" i="10"/>
  <c r="M15" i="10"/>
  <c r="L15" i="10"/>
  <c r="K15" i="10"/>
  <c r="H15" i="10"/>
  <c r="G15" i="10"/>
  <c r="F15" i="10"/>
  <c r="E15" i="10"/>
  <c r="D15" i="10"/>
  <c r="C15" i="10"/>
  <c r="B15" i="10"/>
  <c r="X15" i="10" s="1"/>
  <c r="Z14" i="10"/>
  <c r="Y14" i="10"/>
  <c r="W14" i="10"/>
  <c r="V14" i="10"/>
  <c r="T14" i="10"/>
  <c r="R14" i="10"/>
  <c r="Q14" i="10"/>
  <c r="P14" i="10"/>
  <c r="N14" i="10"/>
  <c r="L14" i="10"/>
  <c r="K14" i="10"/>
  <c r="I14" i="10"/>
  <c r="B14" i="10"/>
  <c r="S14" i="10" s="1"/>
  <c r="D13" i="10"/>
  <c r="B13" i="10"/>
  <c r="Y13" i="10" s="1"/>
  <c r="B12" i="10"/>
  <c r="G12" i="10" s="1"/>
  <c r="C11" i="10"/>
  <c r="B11" i="10"/>
  <c r="B10" i="10"/>
  <c r="B9" i="10"/>
  <c r="N8" i="10"/>
  <c r="K8" i="10"/>
  <c r="I8" i="10"/>
  <c r="G8" i="10"/>
  <c r="C8" i="10"/>
  <c r="B8" i="10"/>
  <c r="Q8" i="10" s="1"/>
  <c r="X7" i="10"/>
  <c r="B7" i="10"/>
  <c r="Y6" i="10"/>
  <c r="O6" i="10"/>
  <c r="L6" i="10"/>
  <c r="H6" i="10"/>
  <c r="E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AA2" i="10"/>
  <c r="Z2" i="10"/>
  <c r="X2" i="10"/>
  <c r="V2" i="10"/>
  <c r="L2" i="10"/>
  <c r="K2" i="10"/>
  <c r="J2" i="10"/>
  <c r="F2" i="10"/>
  <c r="E2" i="10"/>
  <c r="D2" i="10"/>
  <c r="C2" i="10"/>
  <c r="B2" i="10"/>
  <c r="U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X17" i="9"/>
  <c r="W17" i="9"/>
  <c r="U17" i="9"/>
  <c r="T17" i="9"/>
  <c r="R17" i="9"/>
  <c r="Q17" i="9"/>
  <c r="P17" i="9"/>
  <c r="O17" i="9"/>
  <c r="M17" i="9"/>
  <c r="K17" i="9"/>
  <c r="J17" i="9"/>
  <c r="F17" i="9"/>
  <c r="E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Y15" i="9"/>
  <c r="M15" i="9"/>
  <c r="K15" i="9"/>
  <c r="B15" i="9"/>
  <c r="AA15" i="9" s="1"/>
  <c r="Z14" i="9"/>
  <c r="Y14" i="9"/>
  <c r="W14" i="9"/>
  <c r="V14" i="9"/>
  <c r="T14" i="9"/>
  <c r="S14" i="9"/>
  <c r="R14" i="9"/>
  <c r="Q14" i="9"/>
  <c r="P14" i="9"/>
  <c r="N14" i="9"/>
  <c r="L14" i="9"/>
  <c r="K14" i="9"/>
  <c r="J14" i="9"/>
  <c r="I14" i="9"/>
  <c r="H14" i="9"/>
  <c r="G14" i="9"/>
  <c r="C14" i="9"/>
  <c r="B14" i="9"/>
  <c r="AA13" i="9"/>
  <c r="Z13" i="9"/>
  <c r="Y13" i="9"/>
  <c r="X13" i="9"/>
  <c r="W13" i="9"/>
  <c r="S13" i="9"/>
  <c r="Q13" i="9"/>
  <c r="M13" i="9"/>
  <c r="D13" i="9"/>
  <c r="C13" i="9"/>
  <c r="B13" i="9"/>
  <c r="AB12" i="9"/>
  <c r="Z12" i="9"/>
  <c r="Y12" i="9"/>
  <c r="X12" i="9"/>
  <c r="W12" i="9"/>
  <c r="J12" i="9"/>
  <c r="H12" i="9"/>
  <c r="E12" i="9"/>
  <c r="D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X8" i="9"/>
  <c r="U8" i="9"/>
  <c r="R8" i="9"/>
  <c r="Q8" i="9"/>
  <c r="P8" i="9"/>
  <c r="O8" i="9"/>
  <c r="N8" i="9"/>
  <c r="M8" i="9"/>
  <c r="L8" i="9"/>
  <c r="K8" i="9"/>
  <c r="I8" i="9"/>
  <c r="G8" i="9"/>
  <c r="F8" i="9"/>
  <c r="E8" i="9"/>
  <c r="C8" i="9"/>
  <c r="B8" i="9"/>
  <c r="W8" i="9" s="1"/>
  <c r="AB7" i="9"/>
  <c r="AA7" i="9"/>
  <c r="X7" i="9"/>
  <c r="W7" i="9"/>
  <c r="V7" i="9"/>
  <c r="U7" i="9"/>
  <c r="Q7" i="9"/>
  <c r="N7" i="9"/>
  <c r="M7" i="9"/>
  <c r="J7" i="9"/>
  <c r="I7" i="9"/>
  <c r="G7" i="9"/>
  <c r="F7" i="9"/>
  <c r="D7" i="9"/>
  <c r="C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Y3" i="9"/>
  <c r="S3" i="9"/>
  <c r="O3" i="9"/>
  <c r="K3" i="9"/>
  <c r="G3" i="9"/>
  <c r="F3" i="9"/>
  <c r="C3" i="9"/>
  <c r="B3" i="9"/>
  <c r="Z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B15" i="8"/>
  <c r="P15" i="8" s="1"/>
  <c r="B14" i="8"/>
  <c r="AB13" i="8"/>
  <c r="X13" i="8"/>
  <c r="W13" i="8"/>
  <c r="V13" i="8"/>
  <c r="U13" i="8"/>
  <c r="N13" i="8"/>
  <c r="K13" i="8"/>
  <c r="H13" i="8"/>
  <c r="G13" i="8"/>
  <c r="F13" i="8"/>
  <c r="E13" i="8"/>
  <c r="C13" i="8"/>
  <c r="B13" i="8"/>
  <c r="AB12" i="8"/>
  <c r="AA12" i="8"/>
  <c r="Z12" i="8"/>
  <c r="V12" i="8"/>
  <c r="B12" i="8"/>
  <c r="O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B8" i="8"/>
  <c r="H8" i="8" s="1"/>
  <c r="Z7" i="8"/>
  <c r="Q7" i="8"/>
  <c r="P7" i="8"/>
  <c r="M7" i="8"/>
  <c r="B7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G3" i="8"/>
  <c r="E3" i="8"/>
  <c r="D3" i="8"/>
  <c r="B3" i="8"/>
  <c r="J3" i="8" s="1"/>
  <c r="AA2" i="8"/>
  <c r="Z2" i="8"/>
  <c r="W2" i="8"/>
  <c r="V2" i="8"/>
  <c r="U2" i="8"/>
  <c r="T2" i="8"/>
  <c r="S2" i="8"/>
  <c r="R2" i="8"/>
  <c r="Q2" i="8"/>
  <c r="P2" i="8"/>
  <c r="N2" i="8"/>
  <c r="M2" i="8"/>
  <c r="L2" i="8"/>
  <c r="K2" i="8"/>
  <c r="I2" i="8"/>
  <c r="H2" i="8"/>
  <c r="G2" i="8"/>
  <c r="F2" i="8"/>
  <c r="D2" i="8"/>
  <c r="C2" i="8"/>
  <c r="B2" i="8"/>
  <c r="O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Z17" i="7"/>
  <c r="K17" i="7"/>
  <c r="I17" i="7"/>
  <c r="H17" i="7"/>
  <c r="G17" i="7"/>
  <c r="F17" i="7"/>
  <c r="B17" i="7"/>
  <c r="N16" i="7"/>
  <c r="M16" i="7"/>
  <c r="L16" i="7"/>
  <c r="J16" i="7"/>
  <c r="H16" i="7"/>
  <c r="G16" i="7"/>
  <c r="B16" i="7"/>
  <c r="AA16" i="7" s="1"/>
  <c r="AB15" i="7"/>
  <c r="Q15" i="7"/>
  <c r="N15" i="7"/>
  <c r="M15" i="7"/>
  <c r="L15" i="7"/>
  <c r="I15" i="7"/>
  <c r="H15" i="7"/>
  <c r="G15" i="7"/>
  <c r="C15" i="7"/>
  <c r="B15" i="7"/>
  <c r="Z15" i="7" s="1"/>
  <c r="AB14" i="7"/>
  <c r="AA14" i="7"/>
  <c r="Y14" i="7"/>
  <c r="X14" i="7"/>
  <c r="U14" i="7"/>
  <c r="T14" i="7"/>
  <c r="Q14" i="7"/>
  <c r="O14" i="7"/>
  <c r="N14" i="7"/>
  <c r="M14" i="7"/>
  <c r="L14" i="7"/>
  <c r="J14" i="7"/>
  <c r="I14" i="7"/>
  <c r="H14" i="7"/>
  <c r="F14" i="7"/>
  <c r="D14" i="7"/>
  <c r="B14" i="7"/>
  <c r="V14" i="7" s="1"/>
  <c r="X13" i="7"/>
  <c r="I13" i="7"/>
  <c r="H13" i="7"/>
  <c r="F13" i="7"/>
  <c r="E13" i="7"/>
  <c r="B13" i="7"/>
  <c r="Y12" i="7"/>
  <c r="X12" i="7"/>
  <c r="W12" i="7"/>
  <c r="B12" i="7"/>
  <c r="M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AA8" i="7"/>
  <c r="Z8" i="7"/>
  <c r="Y8" i="7"/>
  <c r="W8" i="7"/>
  <c r="V8" i="7"/>
  <c r="U8" i="7"/>
  <c r="T8" i="7"/>
  <c r="R8" i="7"/>
  <c r="Q8" i="7"/>
  <c r="P8" i="7"/>
  <c r="N8" i="7"/>
  <c r="L8" i="7"/>
  <c r="K8" i="7"/>
  <c r="J8" i="7"/>
  <c r="I8" i="7"/>
  <c r="H8" i="7"/>
  <c r="E8" i="7"/>
  <c r="D8" i="7"/>
  <c r="C8" i="7"/>
  <c r="B8" i="7"/>
  <c r="AB7" i="7"/>
  <c r="AA7" i="7"/>
  <c r="Z7" i="7"/>
  <c r="Y7" i="7"/>
  <c r="W7" i="7"/>
  <c r="V7" i="7"/>
  <c r="U7" i="7"/>
  <c r="S7" i="7"/>
  <c r="R7" i="7"/>
  <c r="Q7" i="7"/>
  <c r="P7" i="7"/>
  <c r="O7" i="7"/>
  <c r="M7" i="7"/>
  <c r="L7" i="7"/>
  <c r="K7" i="7"/>
  <c r="H7" i="7"/>
  <c r="F7" i="7"/>
  <c r="E7" i="7"/>
  <c r="D7" i="7"/>
  <c r="C7" i="7"/>
  <c r="B7" i="7"/>
  <c r="W6" i="7"/>
  <c r="V6" i="7"/>
  <c r="U6" i="7"/>
  <c r="S6" i="7"/>
  <c r="R6" i="7"/>
  <c r="P6" i="7"/>
  <c r="O6" i="7"/>
  <c r="N6" i="7"/>
  <c r="B6" i="7"/>
  <c r="Z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V3" i="7"/>
  <c r="U3" i="7"/>
  <c r="T3" i="7"/>
  <c r="N3" i="7"/>
  <c r="M3" i="7"/>
  <c r="L3" i="7"/>
  <c r="K3" i="7"/>
  <c r="J3" i="7"/>
  <c r="H3" i="7"/>
  <c r="G3" i="7"/>
  <c r="F3" i="7"/>
  <c r="B3" i="7"/>
  <c r="K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B17" i="6"/>
  <c r="AA17" i="6"/>
  <c r="Z17" i="6"/>
  <c r="R17" i="6"/>
  <c r="P17" i="6"/>
  <c r="O17" i="6"/>
  <c r="M17" i="6"/>
  <c r="L17" i="6"/>
  <c r="K17" i="6"/>
  <c r="F17" i="6"/>
  <c r="E17" i="6"/>
  <c r="D17" i="6"/>
  <c r="B17" i="6"/>
  <c r="X17" i="6" s="1"/>
  <c r="E16" i="6"/>
  <c r="D16" i="6"/>
  <c r="C16" i="6"/>
  <c r="B16" i="6"/>
  <c r="Z15" i="6"/>
  <c r="V15" i="6"/>
  <c r="T15" i="6"/>
  <c r="S15" i="6"/>
  <c r="R15" i="6"/>
  <c r="O15" i="6"/>
  <c r="N15" i="6"/>
  <c r="L15" i="6"/>
  <c r="K15" i="6"/>
  <c r="J15" i="6"/>
  <c r="H15" i="6"/>
  <c r="G15" i="6"/>
  <c r="F15" i="6"/>
  <c r="E15" i="6"/>
  <c r="B15" i="6"/>
  <c r="Y15" i="6" s="1"/>
  <c r="AB14" i="6"/>
  <c r="X14" i="6"/>
  <c r="W14" i="6"/>
  <c r="T14" i="6"/>
  <c r="Q14" i="6"/>
  <c r="P14" i="6"/>
  <c r="O14" i="6"/>
  <c r="N14" i="6"/>
  <c r="M14" i="6"/>
  <c r="L14" i="6"/>
  <c r="K14" i="6"/>
  <c r="J14" i="6"/>
  <c r="H14" i="6"/>
  <c r="F14" i="6"/>
  <c r="E14" i="6"/>
  <c r="D14" i="6"/>
  <c r="C14" i="6"/>
  <c r="B14" i="6"/>
  <c r="AA14" i="6" s="1"/>
  <c r="B13" i="6"/>
  <c r="AB12" i="6"/>
  <c r="Y12" i="6"/>
  <c r="T12" i="6"/>
  <c r="B12" i="6"/>
  <c r="N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H8" i="6"/>
  <c r="G8" i="6"/>
  <c r="E8" i="6"/>
  <c r="B8" i="6"/>
  <c r="AB8" i="6" s="1"/>
  <c r="B7" i="6"/>
  <c r="J7" i="6" s="1"/>
  <c r="B6" i="6"/>
  <c r="K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W3" i="6"/>
  <c r="V3" i="6"/>
  <c r="U3" i="6"/>
  <c r="P3" i="6"/>
  <c r="O3" i="6"/>
  <c r="M3" i="6"/>
  <c r="C3" i="6"/>
  <c r="B3" i="6"/>
  <c r="L3" i="6" s="1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W17" i="5"/>
  <c r="V17" i="5"/>
  <c r="T17" i="5"/>
  <c r="S17" i="5"/>
  <c r="R17" i="5"/>
  <c r="P17" i="5"/>
  <c r="O17" i="5"/>
  <c r="L17" i="5"/>
  <c r="D17" i="5"/>
  <c r="B17" i="5"/>
  <c r="U17" i="5" s="1"/>
  <c r="B16" i="5"/>
  <c r="W15" i="5"/>
  <c r="U15" i="5"/>
  <c r="T15" i="5"/>
  <c r="S15" i="5"/>
  <c r="R15" i="5"/>
  <c r="Q15" i="5"/>
  <c r="O15" i="5"/>
  <c r="N15" i="5"/>
  <c r="M15" i="5"/>
  <c r="H15" i="5"/>
  <c r="G15" i="5"/>
  <c r="F15" i="5"/>
  <c r="B15" i="5"/>
  <c r="Z15" i="5" s="1"/>
  <c r="B14" i="5"/>
  <c r="D14" i="5" s="1"/>
  <c r="Z13" i="5"/>
  <c r="X13" i="5"/>
  <c r="R13" i="5"/>
  <c r="M13" i="5"/>
  <c r="H13" i="5"/>
  <c r="G13" i="5"/>
  <c r="F13" i="5"/>
  <c r="D13" i="5"/>
  <c r="B13" i="5"/>
  <c r="Y13" i="5" s="1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W6" i="5"/>
  <c r="R6" i="5"/>
  <c r="J6" i="5"/>
  <c r="I6" i="5"/>
  <c r="E6" i="5"/>
  <c r="B6" i="5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S3" i="5"/>
  <c r="Q3" i="5"/>
  <c r="N3" i="5"/>
  <c r="M3" i="5"/>
  <c r="B3" i="5"/>
  <c r="W3" i="5" s="1"/>
  <c r="F2" i="5"/>
  <c r="E2" i="5"/>
  <c r="D2" i="5"/>
  <c r="B2" i="5"/>
  <c r="C2" i="5" s="1"/>
  <c r="B2" i="1"/>
  <c r="X14" i="8" l="1"/>
  <c r="G14" i="8"/>
  <c r="N14" i="8"/>
  <c r="M14" i="8"/>
  <c r="L14" i="8"/>
  <c r="Y2" i="7"/>
  <c r="I2" i="7"/>
  <c r="H2" i="7"/>
  <c r="AB14" i="8"/>
  <c r="L14" i="11"/>
  <c r="Y3" i="14"/>
  <c r="G7" i="15"/>
  <c r="Q2" i="14"/>
  <c r="G2" i="14"/>
  <c r="AA2" i="14"/>
  <c r="Y2" i="14"/>
  <c r="V2" i="14"/>
  <c r="U2" i="14"/>
  <c r="R2" i="14"/>
  <c r="P2" i="14"/>
  <c r="AB13" i="6"/>
  <c r="Q13" i="6"/>
  <c r="P13" i="6"/>
  <c r="F15" i="8"/>
  <c r="E2" i="14"/>
  <c r="W2" i="18"/>
  <c r="Y2" i="18"/>
  <c r="X2" i="18"/>
  <c r="V2" i="18"/>
  <c r="U2" i="18"/>
  <c r="S2" i="18"/>
  <c r="R2" i="18"/>
  <c r="P2" i="18"/>
  <c r="O2" i="18"/>
  <c r="N2" i="18"/>
  <c r="M2" i="18"/>
  <c r="L2" i="18"/>
  <c r="J2" i="18"/>
  <c r="G2" i="18"/>
  <c r="F2" i="18"/>
  <c r="D2" i="18"/>
  <c r="X17" i="18"/>
  <c r="U17" i="18"/>
  <c r="T17" i="18"/>
  <c r="S17" i="18"/>
  <c r="P17" i="18"/>
  <c r="O17" i="18"/>
  <c r="N17" i="18"/>
  <c r="M17" i="18"/>
  <c r="L17" i="18"/>
  <c r="J17" i="18"/>
  <c r="I17" i="18"/>
  <c r="G17" i="18"/>
  <c r="E17" i="18"/>
  <c r="D17" i="18"/>
  <c r="C17" i="18"/>
  <c r="AB17" i="18"/>
  <c r="AA17" i="18"/>
  <c r="Y17" i="18"/>
  <c r="W17" i="18"/>
  <c r="I7" i="5"/>
  <c r="P15" i="5"/>
  <c r="Q3" i="6"/>
  <c r="I8" i="6"/>
  <c r="G13" i="6"/>
  <c r="M15" i="6"/>
  <c r="G17" i="6"/>
  <c r="L2" i="7"/>
  <c r="Q6" i="7"/>
  <c r="AB12" i="7"/>
  <c r="J15" i="7"/>
  <c r="L8" i="8"/>
  <c r="J13" i="8"/>
  <c r="Q13" i="8"/>
  <c r="P13" i="8"/>
  <c r="O13" i="8"/>
  <c r="D14" i="8"/>
  <c r="G15" i="8"/>
  <c r="Q14" i="11"/>
  <c r="S12" i="13"/>
  <c r="Q14" i="13"/>
  <c r="F2" i="14"/>
  <c r="J7" i="15"/>
  <c r="K2" i="18"/>
  <c r="Q17" i="18"/>
  <c r="AB12" i="10"/>
  <c r="Z12" i="10"/>
  <c r="N7" i="5"/>
  <c r="S3" i="6"/>
  <c r="H13" i="6"/>
  <c r="M2" i="7"/>
  <c r="Z13" i="7"/>
  <c r="O13" i="7"/>
  <c r="N13" i="7"/>
  <c r="K15" i="7"/>
  <c r="AB17" i="7"/>
  <c r="E17" i="7"/>
  <c r="C17" i="7"/>
  <c r="D17" i="7"/>
  <c r="M8" i="8"/>
  <c r="E14" i="8"/>
  <c r="H15" i="8"/>
  <c r="J6" i="10"/>
  <c r="C6" i="10"/>
  <c r="AA12" i="10"/>
  <c r="R14" i="11"/>
  <c r="L2" i="14"/>
  <c r="L7" i="15"/>
  <c r="Z2" i="18"/>
  <c r="R17" i="18"/>
  <c r="C14" i="8"/>
  <c r="Q8" i="8"/>
  <c r="I15" i="8"/>
  <c r="M2" i="14"/>
  <c r="Z3" i="18"/>
  <c r="H3" i="18"/>
  <c r="E3" i="18"/>
  <c r="D3" i="18"/>
  <c r="Y3" i="18"/>
  <c r="W3" i="18"/>
  <c r="V3" i="18"/>
  <c r="S3" i="18"/>
  <c r="R3" i="18"/>
  <c r="Q3" i="18"/>
  <c r="N3" i="18"/>
  <c r="M3" i="18"/>
  <c r="K3" i="18"/>
  <c r="J3" i="18"/>
  <c r="V17" i="18"/>
  <c r="AB6" i="13"/>
  <c r="AA6" i="13"/>
  <c r="P6" i="13"/>
  <c r="M6" i="13"/>
  <c r="K6" i="13"/>
  <c r="J6" i="13"/>
  <c r="H6" i="13"/>
  <c r="V14" i="5"/>
  <c r="T8" i="8"/>
  <c r="AB8" i="11"/>
  <c r="E8" i="11"/>
  <c r="X8" i="11"/>
  <c r="Q8" i="11"/>
  <c r="P8" i="11"/>
  <c r="O8" i="11"/>
  <c r="N8" i="11"/>
  <c r="D7" i="12"/>
  <c r="G6" i="13"/>
  <c r="X2" i="14"/>
  <c r="C7" i="14"/>
  <c r="F12" i="14"/>
  <c r="X7" i="17"/>
  <c r="W7" i="17"/>
  <c r="V7" i="17"/>
  <c r="S7" i="17"/>
  <c r="R7" i="17"/>
  <c r="P7" i="17"/>
  <c r="O7" i="17"/>
  <c r="K7" i="17"/>
  <c r="J7" i="17"/>
  <c r="H7" i="17"/>
  <c r="G7" i="17"/>
  <c r="F7" i="17"/>
  <c r="E7" i="17"/>
  <c r="D7" i="17"/>
  <c r="Z7" i="17"/>
  <c r="M13" i="6"/>
  <c r="V8" i="8"/>
  <c r="J14" i="8"/>
  <c r="O15" i="8"/>
  <c r="C8" i="11"/>
  <c r="X15" i="13"/>
  <c r="H15" i="13"/>
  <c r="W15" i="13"/>
  <c r="S15" i="13"/>
  <c r="Q15" i="13"/>
  <c r="O15" i="13"/>
  <c r="N15" i="13"/>
  <c r="M15" i="13"/>
  <c r="L15" i="13"/>
  <c r="F17" i="13"/>
  <c r="E17" i="13"/>
  <c r="Z2" i="14"/>
  <c r="I7" i="14"/>
  <c r="AB13" i="14"/>
  <c r="E13" i="14"/>
  <c r="Y7" i="15"/>
  <c r="U7" i="17"/>
  <c r="O14" i="5"/>
  <c r="R8" i="8"/>
  <c r="X7" i="5"/>
  <c r="P2" i="7"/>
  <c r="I14" i="8"/>
  <c r="C12" i="7"/>
  <c r="H13" i="10"/>
  <c r="E7" i="12"/>
  <c r="O6" i="13"/>
  <c r="W13" i="13"/>
  <c r="U13" i="13"/>
  <c r="R13" i="13"/>
  <c r="P13" i="13"/>
  <c r="N13" i="13"/>
  <c r="M13" i="13"/>
  <c r="K13" i="13"/>
  <c r="H13" i="13"/>
  <c r="Z7" i="5"/>
  <c r="Y14" i="5"/>
  <c r="V15" i="5"/>
  <c r="Y3" i="6"/>
  <c r="E6" i="6"/>
  <c r="O13" i="6"/>
  <c r="U15" i="6"/>
  <c r="Q17" i="6"/>
  <c r="R2" i="7"/>
  <c r="X6" i="7"/>
  <c r="E12" i="7"/>
  <c r="J13" i="7"/>
  <c r="R15" i="7"/>
  <c r="J17" i="7"/>
  <c r="E6" i="8"/>
  <c r="Z8" i="8"/>
  <c r="I13" i="8"/>
  <c r="K14" i="8"/>
  <c r="R6" i="10"/>
  <c r="M13" i="10"/>
  <c r="D8" i="11"/>
  <c r="K7" i="12"/>
  <c r="L14" i="12"/>
  <c r="AB14" i="12"/>
  <c r="Y14" i="12"/>
  <c r="X14" i="12"/>
  <c r="W14" i="12"/>
  <c r="AA3" i="13"/>
  <c r="D3" i="13"/>
  <c r="W3" i="13"/>
  <c r="P3" i="13"/>
  <c r="M3" i="13"/>
  <c r="L3" i="13"/>
  <c r="K3" i="13"/>
  <c r="J3" i="13"/>
  <c r="Z6" i="13"/>
  <c r="F13" i="13"/>
  <c r="C15" i="13"/>
  <c r="C17" i="13"/>
  <c r="AB2" i="14"/>
  <c r="K7" i="14"/>
  <c r="G13" i="14"/>
  <c r="Y7" i="17"/>
  <c r="Z15" i="8"/>
  <c r="E15" i="8"/>
  <c r="L15" i="8"/>
  <c r="K15" i="8"/>
  <c r="J15" i="8"/>
  <c r="U7" i="5"/>
  <c r="H14" i="8"/>
  <c r="N15" i="8"/>
  <c r="Y7" i="5"/>
  <c r="I8" i="11"/>
  <c r="Y7" i="13"/>
  <c r="N7" i="13"/>
  <c r="D7" i="13"/>
  <c r="AA7" i="13"/>
  <c r="Z7" i="13"/>
  <c r="X7" i="13"/>
  <c r="W7" i="13"/>
  <c r="P3" i="15"/>
  <c r="J3" i="15"/>
  <c r="AA3" i="15"/>
  <c r="Z3" i="15"/>
  <c r="Y3" i="15"/>
  <c r="X3" i="15"/>
  <c r="U3" i="15"/>
  <c r="T3" i="15"/>
  <c r="Q3" i="15"/>
  <c r="N3" i="15"/>
  <c r="AA14" i="5"/>
  <c r="T15" i="7"/>
  <c r="L17" i="7"/>
  <c r="O6" i="8"/>
  <c r="C12" i="8"/>
  <c r="L13" i="8"/>
  <c r="P14" i="8"/>
  <c r="Y15" i="8"/>
  <c r="AA6" i="10"/>
  <c r="Z13" i="10"/>
  <c r="Q7" i="11"/>
  <c r="H7" i="11"/>
  <c r="W7" i="11"/>
  <c r="T7" i="11"/>
  <c r="O7" i="11"/>
  <c r="N7" i="11"/>
  <c r="M7" i="11"/>
  <c r="L7" i="11"/>
  <c r="J8" i="11"/>
  <c r="Q14" i="12"/>
  <c r="E3" i="13"/>
  <c r="C7" i="13"/>
  <c r="O13" i="13"/>
  <c r="E15" i="13"/>
  <c r="N7" i="14"/>
  <c r="N13" i="14"/>
  <c r="C3" i="15"/>
  <c r="G8" i="15"/>
  <c r="AA8" i="15"/>
  <c r="Y8" i="15"/>
  <c r="X8" i="15"/>
  <c r="W8" i="15"/>
  <c r="T8" i="15"/>
  <c r="O8" i="15"/>
  <c r="N8" i="15"/>
  <c r="M8" i="15"/>
  <c r="L8" i="15"/>
  <c r="K13" i="6"/>
  <c r="Y7" i="12"/>
  <c r="V7" i="12"/>
  <c r="P7" i="12"/>
  <c r="J7" i="12"/>
  <c r="I7" i="12"/>
  <c r="G7" i="12"/>
  <c r="F7" i="12"/>
  <c r="O2" i="14"/>
  <c r="F13" i="10"/>
  <c r="X3" i="6"/>
  <c r="N13" i="6"/>
  <c r="Q2" i="7"/>
  <c r="AA7" i="5"/>
  <c r="S2" i="7"/>
  <c r="K13" i="7"/>
  <c r="F6" i="8"/>
  <c r="O14" i="8"/>
  <c r="U15" i="8"/>
  <c r="L3" i="14"/>
  <c r="C3" i="14"/>
  <c r="Z3" i="14"/>
  <c r="X3" i="14"/>
  <c r="V3" i="14"/>
  <c r="U3" i="14"/>
  <c r="T3" i="14"/>
  <c r="S3" i="14"/>
  <c r="M7" i="14"/>
  <c r="AB2" i="16"/>
  <c r="Y2" i="16"/>
  <c r="X2" i="16"/>
  <c r="W2" i="16"/>
  <c r="U2" i="16"/>
  <c r="Q2" i="16"/>
  <c r="P2" i="16"/>
  <c r="K2" i="16"/>
  <c r="D2" i="16"/>
  <c r="AB7" i="5"/>
  <c r="Y15" i="5"/>
  <c r="J6" i="6"/>
  <c r="D12" i="6"/>
  <c r="S13" i="6"/>
  <c r="Y14" i="6"/>
  <c r="W15" i="6"/>
  <c r="S17" i="6"/>
  <c r="Z2" i="7"/>
  <c r="AB6" i="7"/>
  <c r="G12" i="7"/>
  <c r="M13" i="7"/>
  <c r="AB14" i="5"/>
  <c r="L12" i="6"/>
  <c r="T13" i="6"/>
  <c r="T17" i="6"/>
  <c r="X3" i="7"/>
  <c r="S3" i="7"/>
  <c r="P3" i="7"/>
  <c r="G7" i="7"/>
  <c r="J7" i="7"/>
  <c r="I7" i="7"/>
  <c r="X8" i="7"/>
  <c r="G8" i="7"/>
  <c r="F8" i="7"/>
  <c r="H12" i="7"/>
  <c r="Q13" i="7"/>
  <c r="U15" i="7"/>
  <c r="M17" i="7"/>
  <c r="P6" i="8"/>
  <c r="D12" i="8"/>
  <c r="M13" i="8"/>
  <c r="Q14" i="8"/>
  <c r="AA15" i="8"/>
  <c r="Y7" i="9"/>
  <c r="L7" i="9"/>
  <c r="T7" i="9"/>
  <c r="S7" i="9"/>
  <c r="R7" i="9"/>
  <c r="C12" i="9"/>
  <c r="U12" i="9"/>
  <c r="S12" i="9"/>
  <c r="O12" i="9"/>
  <c r="X14" i="9"/>
  <c r="U14" i="9"/>
  <c r="M14" i="9"/>
  <c r="F14" i="9"/>
  <c r="AB14" i="9"/>
  <c r="E14" i="9"/>
  <c r="AA14" i="9"/>
  <c r="D14" i="9"/>
  <c r="AA13" i="10"/>
  <c r="C7" i="11"/>
  <c r="K8" i="11"/>
  <c r="R15" i="11"/>
  <c r="X7" i="12"/>
  <c r="R14" i="12"/>
  <c r="F3" i="13"/>
  <c r="E7" i="13"/>
  <c r="Q13" i="13"/>
  <c r="F15" i="13"/>
  <c r="E3" i="14"/>
  <c r="P7" i="14"/>
  <c r="Q13" i="14"/>
  <c r="D3" i="15"/>
  <c r="C8" i="15"/>
  <c r="AA2" i="16"/>
  <c r="N6" i="6"/>
  <c r="M6" i="6"/>
  <c r="Z14" i="5"/>
  <c r="X15" i="5"/>
  <c r="J15" i="5"/>
  <c r="I15" i="5"/>
  <c r="L6" i="6"/>
  <c r="V13" i="6"/>
  <c r="U17" i="6"/>
  <c r="O7" i="8"/>
  <c r="Y7" i="8"/>
  <c r="U7" i="8"/>
  <c r="W7" i="8"/>
  <c r="E12" i="8"/>
  <c r="R14" i="8"/>
  <c r="X14" i="10"/>
  <c r="U14" i="10"/>
  <c r="M14" i="10"/>
  <c r="J14" i="10"/>
  <c r="F14" i="10"/>
  <c r="AB14" i="10"/>
  <c r="E14" i="10"/>
  <c r="AA14" i="10"/>
  <c r="D14" i="10"/>
  <c r="R8" i="11"/>
  <c r="Z7" i="12"/>
  <c r="F7" i="13"/>
  <c r="S13" i="13"/>
  <c r="G15" i="13"/>
  <c r="F3" i="14"/>
  <c r="R7" i="14"/>
  <c r="R13" i="14"/>
  <c r="E3" i="15"/>
  <c r="V7" i="5"/>
  <c r="X12" i="6"/>
  <c r="K12" i="6"/>
  <c r="J12" i="6"/>
  <c r="F12" i="7"/>
  <c r="S15" i="7"/>
  <c r="P13" i="10"/>
  <c r="C2" i="6"/>
  <c r="AA2" i="6"/>
  <c r="Z2" i="6"/>
  <c r="O6" i="6"/>
  <c r="O12" i="6"/>
  <c r="Y13" i="6"/>
  <c r="S13" i="7"/>
  <c r="W15" i="7"/>
  <c r="S17" i="7"/>
  <c r="G7" i="8"/>
  <c r="N12" i="8"/>
  <c r="R13" i="8"/>
  <c r="S14" i="8"/>
  <c r="C14" i="10"/>
  <c r="S8" i="11"/>
  <c r="AA7" i="12"/>
  <c r="X15" i="12"/>
  <c r="P15" i="12"/>
  <c r="H15" i="12"/>
  <c r="E15" i="12"/>
  <c r="AA15" i="12"/>
  <c r="C15" i="12"/>
  <c r="Y15" i="12"/>
  <c r="W15" i="12"/>
  <c r="V15" i="12"/>
  <c r="T15" i="12"/>
  <c r="N3" i="13"/>
  <c r="G7" i="13"/>
  <c r="T13" i="13"/>
  <c r="I15" i="13"/>
  <c r="G3" i="14"/>
  <c r="S7" i="14"/>
  <c r="S13" i="14"/>
  <c r="F3" i="15"/>
  <c r="E8" i="15"/>
  <c r="M15" i="8"/>
  <c r="L12" i="7"/>
  <c r="K12" i="7"/>
  <c r="W14" i="5"/>
  <c r="AA3" i="6"/>
  <c r="I6" i="6"/>
  <c r="R13" i="6"/>
  <c r="AA15" i="5"/>
  <c r="J12" i="7"/>
  <c r="R13" i="7"/>
  <c r="V15" i="7"/>
  <c r="Q17" i="7"/>
  <c r="G12" i="5"/>
  <c r="C15" i="5"/>
  <c r="AB15" i="5"/>
  <c r="X15" i="6"/>
  <c r="Q15" i="6"/>
  <c r="P15" i="6"/>
  <c r="AA15" i="6"/>
  <c r="V17" i="6"/>
  <c r="D15" i="5"/>
  <c r="T2" i="6"/>
  <c r="P6" i="6"/>
  <c r="P12" i="6"/>
  <c r="U14" i="6"/>
  <c r="S14" i="6"/>
  <c r="R14" i="6"/>
  <c r="C15" i="6"/>
  <c r="AB15" i="6"/>
  <c r="W17" i="6"/>
  <c r="N12" i="7"/>
  <c r="T13" i="7"/>
  <c r="Y15" i="7"/>
  <c r="T17" i="7"/>
  <c r="J7" i="8"/>
  <c r="S13" i="8"/>
  <c r="T14" i="8"/>
  <c r="G14" i="10"/>
  <c r="F7" i="11"/>
  <c r="T8" i="11"/>
  <c r="AB7" i="12"/>
  <c r="D15" i="12"/>
  <c r="G17" i="12"/>
  <c r="V3" i="13"/>
  <c r="H7" i="13"/>
  <c r="V13" i="13"/>
  <c r="J15" i="13"/>
  <c r="I3" i="14"/>
  <c r="V7" i="14"/>
  <c r="X13" i="14"/>
  <c r="G3" i="15"/>
  <c r="F14" i="8"/>
  <c r="H12" i="8"/>
  <c r="U12" i="8"/>
  <c r="T12" i="8"/>
  <c r="S12" i="8"/>
  <c r="S7" i="12"/>
  <c r="AB6" i="5"/>
  <c r="Z6" i="5"/>
  <c r="X6" i="5"/>
  <c r="AB13" i="5"/>
  <c r="K13" i="5"/>
  <c r="J13" i="5"/>
  <c r="E15" i="5"/>
  <c r="K17" i="5"/>
  <c r="J17" i="5"/>
  <c r="AB2" i="6"/>
  <c r="AA6" i="6"/>
  <c r="R12" i="6"/>
  <c r="D15" i="6"/>
  <c r="O12" i="7"/>
  <c r="V13" i="7"/>
  <c r="U17" i="7"/>
  <c r="K7" i="8"/>
  <c r="Q12" i="8"/>
  <c r="T13" i="8"/>
  <c r="U14" i="8"/>
  <c r="W2" i="10"/>
  <c r="G2" i="10"/>
  <c r="Y2" i="10"/>
  <c r="P2" i="10"/>
  <c r="N2" i="10"/>
  <c r="M2" i="10"/>
  <c r="H14" i="10"/>
  <c r="G8" i="12"/>
  <c r="Z8" i="12"/>
  <c r="W8" i="12"/>
  <c r="U8" i="12"/>
  <c r="R8" i="12"/>
  <c r="Q8" i="12"/>
  <c r="P8" i="12"/>
  <c r="M8" i="12"/>
  <c r="F15" i="12"/>
  <c r="AB3" i="13"/>
  <c r="I7" i="13"/>
  <c r="X13" i="13"/>
  <c r="K15" i="13"/>
  <c r="J3" i="14"/>
  <c r="W7" i="14"/>
  <c r="I3" i="15"/>
  <c r="AB6" i="6"/>
  <c r="S12" i="6"/>
  <c r="P12" i="7"/>
  <c r="W13" i="7"/>
  <c r="X15" i="7"/>
  <c r="P15" i="7"/>
  <c r="O15" i="7"/>
  <c r="AA15" i="7"/>
  <c r="V17" i="7"/>
  <c r="R12" i="8"/>
  <c r="V14" i="8"/>
  <c r="M12" i="11"/>
  <c r="C12" i="11"/>
  <c r="Z12" i="11"/>
  <c r="Y12" i="11"/>
  <c r="X12" i="11"/>
  <c r="U12" i="11"/>
  <c r="S2" i="13"/>
  <c r="D2" i="13"/>
  <c r="U2" i="13"/>
  <c r="P2" i="13"/>
  <c r="N2" i="13"/>
  <c r="L2" i="13"/>
  <c r="J2" i="13"/>
  <c r="I2" i="13"/>
  <c r="H2" i="13"/>
  <c r="L7" i="13"/>
  <c r="Y13" i="13"/>
  <c r="P15" i="13"/>
  <c r="K3" i="14"/>
  <c r="K3" i="15"/>
  <c r="Z2" i="17"/>
  <c r="W2" i="17"/>
  <c r="L2" i="17"/>
  <c r="J2" i="17"/>
  <c r="I2" i="17"/>
  <c r="G2" i="17"/>
  <c r="F2" i="17"/>
  <c r="Z7" i="14"/>
  <c r="AB7" i="14"/>
  <c r="O7" i="14"/>
  <c r="L7" i="14"/>
  <c r="J7" i="14"/>
  <c r="H7" i="14"/>
  <c r="G7" i="14"/>
  <c r="E7" i="14"/>
  <c r="D7" i="14"/>
  <c r="W14" i="8"/>
  <c r="S14" i="11"/>
  <c r="AA14" i="11"/>
  <c r="P14" i="11"/>
  <c r="M14" i="11"/>
  <c r="K14" i="11"/>
  <c r="I14" i="11"/>
  <c r="H14" i="11"/>
  <c r="G14" i="11"/>
  <c r="F14" i="11"/>
  <c r="M7" i="13"/>
  <c r="Z13" i="13"/>
  <c r="R15" i="13"/>
  <c r="M3" i="14"/>
  <c r="Y7" i="14"/>
  <c r="L3" i="15"/>
  <c r="X7" i="15"/>
  <c r="K7" i="15"/>
  <c r="Z7" i="15"/>
  <c r="C7" i="15"/>
  <c r="W7" i="15"/>
  <c r="V7" i="15"/>
  <c r="U7" i="15"/>
  <c r="T7" i="15"/>
  <c r="R7" i="15"/>
  <c r="Q7" i="15"/>
  <c r="P7" i="15"/>
  <c r="O7" i="15"/>
  <c r="R12" i="7"/>
  <c r="U12" i="6"/>
  <c r="S12" i="7"/>
  <c r="D15" i="7"/>
  <c r="W12" i="8"/>
  <c r="Y14" i="8"/>
  <c r="C14" i="11"/>
  <c r="R7" i="13"/>
  <c r="AB12" i="13"/>
  <c r="X12" i="13"/>
  <c r="M12" i="13"/>
  <c r="I12" i="13"/>
  <c r="D12" i="13"/>
  <c r="U14" i="13"/>
  <c r="H14" i="13"/>
  <c r="Y14" i="13"/>
  <c r="T14" i="13"/>
  <c r="R14" i="13"/>
  <c r="P14" i="13"/>
  <c r="O14" i="13"/>
  <c r="N14" i="13"/>
  <c r="M14" i="13"/>
  <c r="T15" i="13"/>
  <c r="N3" i="14"/>
  <c r="X2" i="15"/>
  <c r="K2" i="15"/>
  <c r="AB2" i="15"/>
  <c r="C2" i="15"/>
  <c r="Z2" i="15"/>
  <c r="Y2" i="15"/>
  <c r="V2" i="15"/>
  <c r="U2" i="15"/>
  <c r="R2" i="15"/>
  <c r="Q2" i="15"/>
  <c r="P2" i="15"/>
  <c r="O2" i="15"/>
  <c r="M3" i="15"/>
  <c r="D7" i="15"/>
  <c r="R8" i="15"/>
  <c r="I13" i="6"/>
  <c r="N2" i="7"/>
  <c r="O2" i="7"/>
  <c r="AA6" i="7"/>
  <c r="H6" i="7"/>
  <c r="F6" i="7"/>
  <c r="AA17" i="7"/>
  <c r="N17" i="6"/>
  <c r="J17" i="6"/>
  <c r="H17" i="6"/>
  <c r="AB13" i="7"/>
  <c r="S7" i="8"/>
  <c r="X12" i="8"/>
  <c r="E14" i="11"/>
  <c r="S7" i="13"/>
  <c r="W3" i="15"/>
  <c r="E7" i="15"/>
  <c r="F3" i="6"/>
  <c r="AA13" i="7"/>
  <c r="K6" i="5"/>
  <c r="K15" i="5"/>
  <c r="K3" i="6"/>
  <c r="C8" i="6"/>
  <c r="V12" i="6"/>
  <c r="I6" i="7"/>
  <c r="T12" i="7"/>
  <c r="E15" i="7"/>
  <c r="Z14" i="8"/>
  <c r="N2" i="11"/>
  <c r="V15" i="13"/>
  <c r="P3" i="14"/>
  <c r="M6" i="5"/>
  <c r="I13" i="5"/>
  <c r="L15" i="5"/>
  <c r="Q17" i="5"/>
  <c r="D8" i="6"/>
  <c r="W12" i="6"/>
  <c r="I14" i="6"/>
  <c r="I15" i="6"/>
  <c r="C17" i="6"/>
  <c r="O3" i="7"/>
  <c r="K6" i="7"/>
  <c r="N7" i="7"/>
  <c r="M8" i="7"/>
  <c r="V12" i="7"/>
  <c r="Z14" i="7"/>
  <c r="S14" i="7"/>
  <c r="R14" i="7"/>
  <c r="F15" i="7"/>
  <c r="T7" i="8"/>
  <c r="Y12" i="8"/>
  <c r="AA13" i="8"/>
  <c r="AA14" i="8"/>
  <c r="P7" i="9"/>
  <c r="AA12" i="9"/>
  <c r="O14" i="9"/>
  <c r="H2" i="10"/>
  <c r="O14" i="10"/>
  <c r="R7" i="11"/>
  <c r="I12" i="11"/>
  <c r="J14" i="11"/>
  <c r="I8" i="12"/>
  <c r="L15" i="12"/>
  <c r="G2" i="13"/>
  <c r="U7" i="13"/>
  <c r="J12" i="13"/>
  <c r="F14" i="13"/>
  <c r="Y15" i="13"/>
  <c r="W3" i="14"/>
  <c r="E2" i="15"/>
  <c r="F7" i="15"/>
  <c r="AB8" i="15"/>
  <c r="Y15" i="14"/>
  <c r="S12" i="15"/>
  <c r="T15" i="15"/>
  <c r="D7" i="16"/>
  <c r="Y17" i="16"/>
  <c r="G6" i="17"/>
  <c r="P12" i="17"/>
  <c r="AB8" i="18"/>
  <c r="Y12" i="18"/>
  <c r="E15" i="18"/>
  <c r="H2" i="19"/>
  <c r="K3" i="19"/>
  <c r="N6" i="19"/>
  <c r="M8" i="19"/>
  <c r="C12" i="19"/>
  <c r="K13" i="19"/>
  <c r="T14" i="19"/>
  <c r="AA17" i="9"/>
  <c r="E6" i="14"/>
  <c r="U15" i="15"/>
  <c r="E7" i="16"/>
  <c r="Z17" i="16"/>
  <c r="L6" i="17"/>
  <c r="Q12" i="17"/>
  <c r="C8" i="18"/>
  <c r="Z12" i="18"/>
  <c r="J15" i="18"/>
  <c r="M2" i="19"/>
  <c r="M3" i="19"/>
  <c r="O6" i="19"/>
  <c r="N8" i="19"/>
  <c r="E12" i="19"/>
  <c r="L13" i="19"/>
  <c r="U14" i="19"/>
  <c r="S8" i="9"/>
  <c r="Z8" i="10"/>
  <c r="J3" i="11"/>
  <c r="F6" i="14"/>
  <c r="D15" i="14"/>
  <c r="AA15" i="14"/>
  <c r="V12" i="15"/>
  <c r="V15" i="15"/>
  <c r="F7" i="16"/>
  <c r="C14" i="16"/>
  <c r="AB17" i="16"/>
  <c r="M6" i="17"/>
  <c r="D8" i="18"/>
  <c r="K15" i="18"/>
  <c r="N2" i="19"/>
  <c r="N3" i="19"/>
  <c r="R6" i="19"/>
  <c r="O8" i="19"/>
  <c r="F12" i="19"/>
  <c r="M13" i="19"/>
  <c r="V14" i="19"/>
  <c r="L3" i="5"/>
  <c r="C3" i="8"/>
  <c r="T8" i="9"/>
  <c r="AB8" i="10"/>
  <c r="AA15" i="10"/>
  <c r="K3" i="11"/>
  <c r="K6" i="11"/>
  <c r="G6" i="14"/>
  <c r="E15" i="14"/>
  <c r="AB15" i="14"/>
  <c r="W12" i="15"/>
  <c r="X15" i="15"/>
  <c r="G7" i="16"/>
  <c r="F14" i="16"/>
  <c r="Q6" i="17"/>
  <c r="S12" i="17"/>
  <c r="C15" i="17"/>
  <c r="E8" i="18"/>
  <c r="M15" i="18"/>
  <c r="O2" i="19"/>
  <c r="P3" i="19"/>
  <c r="W6" i="19"/>
  <c r="P8" i="19"/>
  <c r="G12" i="19"/>
  <c r="O13" i="19"/>
  <c r="AB14" i="19"/>
  <c r="H12" i="19"/>
  <c r="P13" i="19"/>
  <c r="J6" i="14"/>
  <c r="G15" i="14"/>
  <c r="W6" i="15"/>
  <c r="Z12" i="15"/>
  <c r="Z13" i="15"/>
  <c r="AA15" i="15"/>
  <c r="F6" i="16"/>
  <c r="I7" i="16"/>
  <c r="J14" i="16"/>
  <c r="H8" i="17"/>
  <c r="U12" i="17"/>
  <c r="H15" i="17"/>
  <c r="L17" i="17"/>
  <c r="I6" i="18"/>
  <c r="G8" i="18"/>
  <c r="H13" i="18"/>
  <c r="S15" i="18"/>
  <c r="R2" i="19"/>
  <c r="R3" i="19"/>
  <c r="C7" i="19"/>
  <c r="R8" i="19"/>
  <c r="I12" i="19"/>
  <c r="Q13" i="19"/>
  <c r="C15" i="19"/>
  <c r="X6" i="15"/>
  <c r="AA12" i="15"/>
  <c r="AA13" i="15"/>
  <c r="G6" i="16"/>
  <c r="J7" i="16"/>
  <c r="Y14" i="16"/>
  <c r="J8" i="17"/>
  <c r="V12" i="17"/>
  <c r="I15" i="17"/>
  <c r="M17" i="17"/>
  <c r="J6" i="18"/>
  <c r="J8" i="18"/>
  <c r="P13" i="18"/>
  <c r="W15" i="18"/>
  <c r="S2" i="19"/>
  <c r="S3" i="19"/>
  <c r="F7" i="19"/>
  <c r="S8" i="19"/>
  <c r="J12" i="19"/>
  <c r="T13" i="19"/>
  <c r="E15" i="19"/>
  <c r="K13" i="11"/>
  <c r="E8" i="13"/>
  <c r="L6" i="14"/>
  <c r="C17" i="14"/>
  <c r="AB13" i="15"/>
  <c r="H6" i="16"/>
  <c r="L7" i="16"/>
  <c r="N8" i="17"/>
  <c r="W12" i="17"/>
  <c r="N15" i="17"/>
  <c r="O17" i="17"/>
  <c r="K6" i="18"/>
  <c r="K8" i="18"/>
  <c r="X15" i="18"/>
  <c r="U2" i="19"/>
  <c r="T3" i="19"/>
  <c r="G7" i="19"/>
  <c r="T8" i="19"/>
  <c r="L12" i="19"/>
  <c r="V13" i="19"/>
  <c r="F15" i="19"/>
  <c r="M7" i="16"/>
  <c r="Y15" i="18"/>
  <c r="V2" i="19"/>
  <c r="U3" i="19"/>
  <c r="H7" i="19"/>
  <c r="V8" i="19"/>
  <c r="P12" i="19"/>
  <c r="W13" i="19"/>
  <c r="G15" i="19"/>
  <c r="Z15" i="18"/>
  <c r="V3" i="19"/>
  <c r="L7" i="19"/>
  <c r="Q12" i="19"/>
  <c r="Y13" i="19"/>
  <c r="J15" i="19"/>
  <c r="G17" i="9"/>
  <c r="I15" i="10"/>
  <c r="U6" i="11"/>
  <c r="Q13" i="11"/>
  <c r="I8" i="13"/>
  <c r="O6" i="14"/>
  <c r="L15" i="14"/>
  <c r="G12" i="15"/>
  <c r="E13" i="15"/>
  <c r="K6" i="16"/>
  <c r="P7" i="16"/>
  <c r="Q8" i="17"/>
  <c r="AB12" i="17"/>
  <c r="U17" i="17"/>
  <c r="Q6" i="18"/>
  <c r="O8" i="18"/>
  <c r="L14" i="18"/>
  <c r="AA15" i="18"/>
  <c r="X2" i="19"/>
  <c r="W3" i="19"/>
  <c r="M7" i="19"/>
  <c r="Y8" i="19"/>
  <c r="R12" i="19"/>
  <c r="Z13" i="19"/>
  <c r="L15" i="19"/>
  <c r="C17" i="19"/>
  <c r="W17" i="17"/>
  <c r="W6" i="18"/>
  <c r="P8" i="18"/>
  <c r="Q14" i="18"/>
  <c r="AB15" i="18"/>
  <c r="Z2" i="19"/>
  <c r="Y3" i="19"/>
  <c r="R7" i="19"/>
  <c r="Z8" i="19"/>
  <c r="T12" i="19"/>
  <c r="AA13" i="19"/>
  <c r="M15" i="19"/>
  <c r="E17" i="19"/>
  <c r="Z3" i="19"/>
  <c r="U7" i="19"/>
  <c r="U12" i="19"/>
  <c r="O15" i="19"/>
  <c r="F17" i="19"/>
  <c r="AA3" i="19"/>
  <c r="AB8" i="19"/>
  <c r="V12" i="19"/>
  <c r="F14" i="19"/>
  <c r="P15" i="19"/>
  <c r="G17" i="19"/>
  <c r="S3" i="16"/>
  <c r="O6" i="16"/>
  <c r="U7" i="16"/>
  <c r="K12" i="16"/>
  <c r="C17" i="16"/>
  <c r="U8" i="17"/>
  <c r="E12" i="17"/>
  <c r="N13" i="17"/>
  <c r="S8" i="18"/>
  <c r="V14" i="18"/>
  <c r="C3" i="19"/>
  <c r="AB3" i="19"/>
  <c r="C8" i="19"/>
  <c r="Y12" i="19"/>
  <c r="G14" i="19"/>
  <c r="Q15" i="19"/>
  <c r="M17" i="19"/>
  <c r="L17" i="15"/>
  <c r="W12" i="16"/>
  <c r="D17" i="16"/>
  <c r="T8" i="18"/>
  <c r="X14" i="18"/>
  <c r="D3" i="19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S17" i="9"/>
  <c r="W8" i="13"/>
  <c r="Z6" i="14"/>
  <c r="T15" i="14"/>
  <c r="N6" i="15"/>
  <c r="O12" i="15"/>
  <c r="M13" i="15"/>
  <c r="G15" i="15"/>
  <c r="V6" i="16"/>
  <c r="AB7" i="16"/>
  <c r="J17" i="16"/>
  <c r="AA8" i="17"/>
  <c r="I12" i="17"/>
  <c r="G7" i="18"/>
  <c r="G3" i="19"/>
  <c r="E6" i="19"/>
  <c r="G8" i="19"/>
  <c r="C13" i="19"/>
  <c r="L14" i="19"/>
  <c r="AB15" i="19"/>
  <c r="V17" i="19"/>
  <c r="R17" i="16"/>
  <c r="H3" i="19"/>
  <c r="G6" i="19"/>
  <c r="H8" i="19"/>
  <c r="D13" i="19"/>
  <c r="O14" i="19"/>
  <c r="Y17" i="19"/>
  <c r="C2" i="19"/>
  <c r="I3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<sst xmlns="http://schemas.openxmlformats.org/spreadsheetml/2006/main" count="3113" uniqueCount="587">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</sst>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163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TX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3.5406901398920651E-2</v>
      </c>
      <c r="C2" s="7">
        <f>$B2 * IFERROR(VLOOKUP("transport|PM25|Premature mortality", US_national_yearly!$D:$AM, 11, FALSE) / VLOOKUP("transport|PM25|Premature mortality", US_national_yearly!$D:$AM, 10, FALSE), 1)</f>
        <v>3.5845869382533806E-2</v>
      </c>
      <c r="D2" s="7">
        <f>$B2 * IFERROR(VLOOKUP("transport|PM25|Premature mortality", US_national_yearly!$D:$AM, 12, FALSE) / VLOOKUP("transport|PM25|Premature mortality", US_national_yearly!$D:$AM, 10, FALSE), 1)</f>
        <v>3.6284837366146953E-2</v>
      </c>
      <c r="E2" s="7">
        <f>$B2 * IFERROR(VLOOKUP("transport|PM25|Premature mortality", US_national_yearly!$D:$AM, 13, FALSE) / VLOOKUP("transport|PM25|Premature mortality", US_national_yearly!$D:$AM, 10, FALSE), 1)</f>
        <v>3.6723805349760101E-2</v>
      </c>
      <c r="F2" s="7">
        <f>$B2 * IFERROR(VLOOKUP("transport|PM25|Premature mortality", US_national_yearly!$D:$AM, 14, FALSE) / VLOOKUP("transport|PM25|Premature mortality", US_national_yearly!$D:$AM, 10, FALSE), 1)</f>
        <v>3.7162773333373249E-2</v>
      </c>
      <c r="G2" s="7">
        <f>$B2 * IFERROR(VLOOKUP("transport|PM25|Premature mortality", US_national_yearly!$D:$AM, 15, FALSE) / VLOOKUP("transport|PM25|Premature mortality", US_national_yearly!$D:$AM, 10, FALSE), 1)</f>
        <v>3.801766017084169E-2</v>
      </c>
      <c r="H2" s="7">
        <f>$B2 * IFERROR(VLOOKUP("transport|PM25|Premature mortality", US_national_yearly!$D:$AM, 16, FALSE) / VLOOKUP("transport|PM25|Premature mortality", US_national_yearly!$D:$AM, 10, FALSE), 1)</f>
        <v>3.8872547008310138E-2</v>
      </c>
      <c r="I2" s="7">
        <f>$B2 * IFERROR(VLOOKUP("transport|PM25|Premature mortality", US_national_yearly!$D:$AM, 17, FALSE) / VLOOKUP("transport|PM25|Premature mortality", US_national_yearly!$D:$AM, 10, FALSE), 1)</f>
        <v>3.9434072669736614E-2</v>
      </c>
      <c r="J2" s="7">
        <f>$B2 * IFERROR(VLOOKUP("transport|PM25|Premature mortality", US_national_yearly!$D:$AM, 18, FALSE) / VLOOKUP("transport|PM25|Premature mortality", US_national_yearly!$D:$AM, 10, FALSE), 1)</f>
        <v>3.9995598331163104E-2</v>
      </c>
      <c r="K2" s="7">
        <f>$B2 * IFERROR(VLOOKUP("transport|PM25|Premature mortality", US_national_yearly!$D:$AM, 19, FALSE) / VLOOKUP("transport|PM25|Premature mortality", US_national_yearly!$D:$AM, 10, FALSE), 1)</f>
        <v>4.0557123992589587E-2</v>
      </c>
      <c r="L2" s="7">
        <f>$B2 * IFERROR(VLOOKUP("transport|PM25|Premature mortality", US_national_yearly!$D:$AM, 20, FALSE) / VLOOKUP("transport|PM25|Premature mortality", US_national_yearly!$D:$AM, 10, FALSE), 1)</f>
        <v>4.1118649654016078E-2</v>
      </c>
      <c r="M2" s="7">
        <f>$B2 * IFERROR(VLOOKUP("transport|PM25|Premature mortality", US_national_yearly!$D:$AM, 21, FALSE) / VLOOKUP("transport|PM25|Premature mortality", US_national_yearly!$D:$AM, 10, FALSE), 1)</f>
        <v>4.1680175315442561E-2</v>
      </c>
      <c r="N2" s="7">
        <f>$B2 * IFERROR(VLOOKUP("transport|PM25|Premature mortality", US_national_yearly!$D:$AM, 22, FALSE) / VLOOKUP("transport|PM25|Premature mortality", US_national_yearly!$D:$AM, 10, FALSE), 1)</f>
        <v>4.2116164253778905E-2</v>
      </c>
      <c r="O2" s="7">
        <f>$B2 * IFERROR(VLOOKUP("transport|PM25|Premature mortality", US_national_yearly!$D:$AM, 23, FALSE) / VLOOKUP("transport|PM25|Premature mortality", US_national_yearly!$D:$AM, 10, FALSE), 1)</f>
        <v>4.2552153192115243E-2</v>
      </c>
      <c r="P2" s="7">
        <f>$B2 * IFERROR(VLOOKUP("transport|PM25|Premature mortality", US_national_yearly!$D:$AM, 24, FALSE) / VLOOKUP("transport|PM25|Premature mortality", US_national_yearly!$D:$AM, 10, FALSE), 1)</f>
        <v>4.298814213045158E-2</v>
      </c>
      <c r="Q2" s="7">
        <f>$B2 * IFERROR(VLOOKUP("transport|PM25|Premature mortality", US_national_yearly!$D:$AM, 25, FALSE) / VLOOKUP("transport|PM25|Premature mortality", US_national_yearly!$D:$AM, 10, FALSE), 1)</f>
        <v>4.3424131068787925E-2</v>
      </c>
      <c r="R2" s="7">
        <f>$B2 * IFERROR(VLOOKUP("transport|PM25|Premature mortality", US_national_yearly!$D:$AM, 26, FALSE) / VLOOKUP("transport|PM25|Premature mortality", US_national_yearly!$D:$AM, 10, FALSE), 1)</f>
        <v>4.3860120007124269E-2</v>
      </c>
      <c r="S2" s="7">
        <f>$B2 * IFERROR(VLOOKUP("transport|PM25|Premature mortality", US_national_yearly!$D:$AM, 27, FALSE) / VLOOKUP("transport|PM25|Premature mortality", US_national_yearly!$D:$AM, 10, FALSE), 1)</f>
        <v>4.4091093992991756E-2</v>
      </c>
      <c r="T2" s="7">
        <f>$B2 * IFERROR(VLOOKUP("transport|PM25|Premature mortality", US_national_yearly!$D:$AM, 28, FALSE) / VLOOKUP("transport|PM25|Premature mortality", US_national_yearly!$D:$AM, 10, FALSE), 1)</f>
        <v>4.4322067978859229E-2</v>
      </c>
      <c r="U2" s="7">
        <f>$B2 * IFERROR(VLOOKUP("transport|PM25|Premature mortality", US_national_yearly!$D:$AM, 29, FALSE) / VLOOKUP("transport|PM25|Premature mortality", US_national_yearly!$D:$AM, 10, FALSE), 1)</f>
        <v>4.4553041964726703E-2</v>
      </c>
      <c r="V2" s="7">
        <f>$B2 * IFERROR(VLOOKUP("transport|PM25|Premature mortality", US_national_yearly!$D:$AM, 30, FALSE) / VLOOKUP("transport|PM25|Premature mortality", US_national_yearly!$D:$AM, 10, FALSE), 1)</f>
        <v>4.4784015950594176E-2</v>
      </c>
      <c r="W2" s="7">
        <f>$B2 * IFERROR(VLOOKUP("transport|PM25|Premature mortality", US_national_yearly!$D:$AM, 31, FALSE) / VLOOKUP("transport|PM25|Premature mortality", US_national_yearly!$D:$AM, 10, FALSE), 1)</f>
        <v>4.501498993646165E-2</v>
      </c>
      <c r="X2" s="7">
        <f>$B2 * IFERROR(VLOOKUP("transport|PM25|Premature mortality", US_national_yearly!$D:$AM, 32, FALSE) / VLOOKUP("transport|PM25|Premature mortality", US_national_yearly!$D:$AM, 10, FALSE), 1)</f>
        <v>4.5055377524598129E-2</v>
      </c>
      <c r="Y2" s="7">
        <f>$B2 * IFERROR(VLOOKUP("transport|PM25|Premature mortality", US_national_yearly!$D:$AM, 33, FALSE) / VLOOKUP("transport|PM25|Premature mortality", US_national_yearly!$D:$AM, 10, FALSE), 1)</f>
        <v>4.5095765112734623E-2</v>
      </c>
      <c r="Z2" s="7">
        <f>$B2 * IFERROR(VLOOKUP("transport|PM25|Premature mortality", US_national_yearly!$D:$AM, 34, FALSE) / VLOOKUP("transport|PM25|Premature mortality", US_national_yearly!$D:$AM, 10, FALSE), 1)</f>
        <v>4.5136152700871103E-2</v>
      </c>
      <c r="AA2" s="7">
        <f>$B2 * IFERROR(VLOOKUP("transport|PM25|Premature mortality", US_national_yearly!$D:$AM, 35, FALSE) / VLOOKUP("transport|PM25|Premature mortality", US_national_yearly!$D:$AM, 10, FALSE), 1)</f>
        <v>4.517654028900759E-2</v>
      </c>
      <c r="AB2" s="7">
        <f>$B2 * IFERROR(VLOOKUP("transport|PM25|Premature mortality", US_national_yearly!$D:$AM, 36, FALSE) / VLOOKUP("transport|PM25|Premature mortality", US_national_yearly!$D:$AM, 10, FALSE), 1)</f>
        <v>4.5216927877144077E-2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1.3813681954960076E-4</v>
      </c>
      <c r="C3" s="7">
        <f>$B3 * IFERROR(VLOOKUP("transport|PM25|Infant mortality", US_national_yearly!$D:$AM, 11, FALSE) / VLOOKUP("transport|PM25|Infant mortality", US_national_yearly!$D:$AM, 10, FALSE), 1)</f>
        <v>1.3693239253387456E-4</v>
      </c>
      <c r="D3" s="7">
        <f>$B3 * IFERROR(VLOOKUP("transport|PM25|Infant mortality", US_national_yearly!$D:$AM, 12, FALSE) / VLOOKUP("transport|PM25|Infant mortality", US_national_yearly!$D:$AM, 10, FALSE), 1)</f>
        <v>1.3572796551814833E-4</v>
      </c>
      <c r="E3" s="7">
        <f>$B3 * IFERROR(VLOOKUP("transport|PM25|Infant mortality", US_national_yearly!$D:$AM, 13, FALSE) / VLOOKUP("transport|PM25|Infant mortality", US_national_yearly!$D:$AM, 10, FALSE), 1)</f>
        <v>1.345235385024221E-4</v>
      </c>
      <c r="F3" s="7">
        <f>$B3 * IFERROR(VLOOKUP("transport|PM25|Infant mortality", US_national_yearly!$D:$AM, 14, FALSE) / VLOOKUP("transport|PM25|Infant mortality", US_national_yearly!$D:$AM, 10, FALSE), 1)</f>
        <v>1.3331911148669587E-4</v>
      </c>
      <c r="G3" s="7">
        <f>$B3 * IFERROR(VLOOKUP("transport|PM25|Infant mortality", US_national_yearly!$D:$AM, 15, FALSE) / VLOOKUP("transport|PM25|Infant mortality", US_national_yearly!$D:$AM, 10, FALSE), 1)</f>
        <v>8.8664340638709544E-5</v>
      </c>
      <c r="H3" s="7">
        <f>$B3 * IFERROR(VLOOKUP("transport|PM25|Infant mortality", US_national_yearly!$D:$AM, 16, FALSE) / VLOOKUP("transport|PM25|Infant mortality", US_national_yearly!$D:$AM, 10, FALSE), 1)</f>
        <v>4.4009569790723201E-5</v>
      </c>
      <c r="I3" s="7">
        <f>$B3 * IFERROR(VLOOKUP("transport|PM25|Infant mortality", US_national_yearly!$D:$AM, 17, FALSE) / VLOOKUP("transport|PM25|Infant mortality", US_national_yearly!$D:$AM, 10, FALSE), 1)</f>
        <v>4.3721894554814687E-5</v>
      </c>
      <c r="J3" s="7">
        <f>$B3 * IFERROR(VLOOKUP("transport|PM25|Infant mortality", US_national_yearly!$D:$AM, 18, FALSE) / VLOOKUP("transport|PM25|Infant mortality", US_national_yearly!$D:$AM, 10, FALSE), 1)</f>
        <v>4.343421931890616E-5</v>
      </c>
      <c r="K3" s="7">
        <f>$B3 * IFERROR(VLOOKUP("transport|PM25|Infant mortality", US_national_yearly!$D:$AM, 19, FALSE) / VLOOKUP("transport|PM25|Infant mortality", US_national_yearly!$D:$AM, 10, FALSE), 1)</f>
        <v>4.3146544082997633E-5</v>
      </c>
      <c r="L3" s="7">
        <f>$B3 * IFERROR(VLOOKUP("transport|PM25|Infant mortality", US_national_yearly!$D:$AM, 20, FALSE) / VLOOKUP("transport|PM25|Infant mortality", US_national_yearly!$D:$AM, 10, FALSE), 1)</f>
        <v>4.2858868847089119E-5</v>
      </c>
      <c r="M3" s="7">
        <f>$B3 * IFERROR(VLOOKUP("transport|PM25|Infant mortality", US_national_yearly!$D:$AM, 21, FALSE) / VLOOKUP("transport|PM25|Infant mortality", US_national_yearly!$D:$AM, 10, FALSE), 1)</f>
        <v>4.2571193611180598E-5</v>
      </c>
      <c r="N3" s="7">
        <f>$B3 * IFERROR(VLOOKUP("transport|PM25|Infant mortality", US_national_yearly!$D:$AM, 22, FALSE) / VLOOKUP("transport|PM25|Infant mortality", US_national_yearly!$D:$AM, 10, FALSE), 1)</f>
        <v>4.2390501714270944E-5</v>
      </c>
      <c r="O3" s="7">
        <f>$B3 * IFERROR(VLOOKUP("transport|PM25|Infant mortality", US_national_yearly!$D:$AM, 23, FALSE) / VLOOKUP("transport|PM25|Infant mortality", US_national_yearly!$D:$AM, 10, FALSE), 1)</f>
        <v>4.220980981736129E-5</v>
      </c>
      <c r="P3" s="7">
        <f>$B3 * IFERROR(VLOOKUP("transport|PM25|Infant mortality", US_national_yearly!$D:$AM, 24, FALSE) / VLOOKUP("transport|PM25|Infant mortality", US_national_yearly!$D:$AM, 10, FALSE), 1)</f>
        <v>4.2029117920451622E-5</v>
      </c>
      <c r="Q3" s="7">
        <f>$B3 * IFERROR(VLOOKUP("transport|PM25|Infant mortality", US_national_yearly!$D:$AM, 25, FALSE) / VLOOKUP("transport|PM25|Infant mortality", US_national_yearly!$D:$AM, 10, FALSE), 1)</f>
        <v>4.1848426023541968E-5</v>
      </c>
      <c r="R3" s="7">
        <f>$B3 * IFERROR(VLOOKUP("transport|PM25|Infant mortality", US_national_yearly!$D:$AM, 26, FALSE) / VLOOKUP("transport|PM25|Infant mortality", US_national_yearly!$D:$AM, 10, FALSE), 1)</f>
        <v>4.1667734126632307E-5</v>
      </c>
      <c r="S3" s="7">
        <f>$B3 * IFERROR(VLOOKUP("transport|PM25|Infant mortality", US_national_yearly!$D:$AM, 27, FALSE) / VLOOKUP("transport|PM25|Infant mortality", US_national_yearly!$D:$AM, 10, FALSE), 1)</f>
        <v>4.144249798259973E-5</v>
      </c>
      <c r="T3" s="7">
        <f>$B3 * IFERROR(VLOOKUP("transport|PM25|Infant mortality", US_national_yearly!$D:$AM, 28, FALSE) / VLOOKUP("transport|PM25|Infant mortality", US_national_yearly!$D:$AM, 10, FALSE), 1)</f>
        <v>4.121726183856714E-5</v>
      </c>
      <c r="U3" s="7">
        <f>$B3 * IFERROR(VLOOKUP("transport|PM25|Infant mortality", US_national_yearly!$D:$AM, 29, FALSE) / VLOOKUP("transport|PM25|Infant mortality", US_national_yearly!$D:$AM, 10, FALSE), 1)</f>
        <v>4.0992025694534557E-5</v>
      </c>
      <c r="V3" s="7">
        <f>$B3 * IFERROR(VLOOKUP("transport|PM25|Infant mortality", US_national_yearly!$D:$AM, 30, FALSE) / VLOOKUP("transport|PM25|Infant mortality", US_national_yearly!$D:$AM, 10, FALSE), 1)</f>
        <v>4.076678955050198E-5</v>
      </c>
      <c r="W3" s="7">
        <f>$B3 * IFERROR(VLOOKUP("transport|PM25|Infant mortality", US_national_yearly!$D:$AM, 31, FALSE) / VLOOKUP("transport|PM25|Infant mortality", US_national_yearly!$D:$AM, 10, FALSE), 1)</f>
        <v>4.054155340646939E-5</v>
      </c>
      <c r="X3" s="7">
        <f>$B3 * IFERROR(VLOOKUP("transport|PM25|Infant mortality", US_national_yearly!$D:$AM, 32, FALSE) / VLOOKUP("transport|PM25|Infant mortality", US_national_yearly!$D:$AM, 10, FALSE), 1)</f>
        <v>4.0298720533988939E-5</v>
      </c>
      <c r="Y3" s="7">
        <f>$B3 * IFERROR(VLOOKUP("transport|PM25|Infant mortality", US_national_yearly!$D:$AM, 33, FALSE) / VLOOKUP("transport|PM25|Infant mortality", US_national_yearly!$D:$AM, 10, FALSE), 1)</f>
        <v>4.0055887661508474E-5</v>
      </c>
      <c r="Z3" s="7">
        <f>$B3 * IFERROR(VLOOKUP("transport|PM25|Infant mortality", US_national_yearly!$D:$AM, 34, FALSE) / VLOOKUP("transport|PM25|Infant mortality", US_national_yearly!$D:$AM, 10, FALSE), 1)</f>
        <v>3.9813054789028023E-5</v>
      </c>
      <c r="AA3" s="7">
        <f>$B3 * IFERROR(VLOOKUP("transport|PM25|Infant mortality", US_national_yearly!$D:$AM, 35, FALSE) / VLOOKUP("transport|PM25|Infant mortality", US_national_yearly!$D:$AM, 10, FALSE), 1)</f>
        <v>3.9570221916547573E-5</v>
      </c>
      <c r="AB3" s="7">
        <f>$B3 * IFERROR(VLOOKUP("transport|PM25|Infant mortality", US_national_yearly!$D:$AM, 36, FALSE) / VLOOKUP("transport|PM25|Infant mortality", US_national_yearly!$D:$AM, 10, FALSE), 1)</f>
        <v>3.9327389044067122E-5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0.13700702584298283</v>
      </c>
      <c r="C6" s="7">
        <f>$B6 * IFERROR(VLOOKUP("transport|PM25|Asthma symptoms cough", US_national_yearly!$D:$AM, 11, FALSE) / VLOOKUP("transport|PM25|Asthma symptoms cough", US_national_yearly!$D:$AM, 10, FALSE), 1)</f>
        <v>0.13700702584298283</v>
      </c>
      <c r="D6" s="7">
        <f>$B6 * IFERROR(VLOOKUP("transport|PM25|Asthma symptoms cough", US_national_yearly!$D:$AM, 12, FALSE) / VLOOKUP("transport|PM25|Asthma symptoms cough", US_national_yearly!$D:$AM, 10, FALSE), 1)</f>
        <v>0.13700702584298283</v>
      </c>
      <c r="E6" s="7">
        <f>$B6 * IFERROR(VLOOKUP("transport|PM25|Asthma symptoms cough", US_national_yearly!$D:$AM, 13, FALSE) / VLOOKUP("transport|PM25|Asthma symptoms cough", US_national_yearly!$D:$AM, 10, FALSE), 1)</f>
        <v>0.13700702584298283</v>
      </c>
      <c r="F6" s="7">
        <f>$B6 * IFERROR(VLOOKUP("transport|PM25|Asthma symptoms cough", US_national_yearly!$D:$AM, 14, FALSE) / VLOOKUP("transport|PM25|Asthma symptoms cough", US_national_yearly!$D:$AM, 10, FALSE), 1)</f>
        <v>0.13700702584298283</v>
      </c>
      <c r="G6" s="7">
        <f>$B6 * IFERROR(VLOOKUP("transport|PM25|Asthma symptoms cough", US_national_yearly!$D:$AM, 15, FALSE) / VLOOKUP("transport|PM25|Asthma symptoms cough", US_national_yearly!$D:$AM, 10, FALSE), 1)</f>
        <v>0.13700702584298283</v>
      </c>
      <c r="H6" s="7">
        <f>$B6 * IFERROR(VLOOKUP("transport|PM25|Asthma symptoms cough", US_national_yearly!$D:$AM, 16, FALSE) / VLOOKUP("transport|PM25|Asthma symptoms cough", US_national_yearly!$D:$AM, 10, FALSE), 1)</f>
        <v>0.13700702584298283</v>
      </c>
      <c r="I6" s="7">
        <f>$B6 * IFERROR(VLOOKUP("transport|PM25|Asthma symptoms cough", US_national_yearly!$D:$AM, 17, FALSE) / VLOOKUP("transport|PM25|Asthma symptoms cough", US_national_yearly!$D:$AM, 10, FALSE), 1)</f>
        <v>0.13700702584298283</v>
      </c>
      <c r="J6" s="7">
        <f>$B6 * IFERROR(VLOOKUP("transport|PM25|Asthma symptoms cough", US_national_yearly!$D:$AM, 18, FALSE) / VLOOKUP("transport|PM25|Asthma symptoms cough", US_national_yearly!$D:$AM, 10, FALSE), 1)</f>
        <v>0.13700702584298283</v>
      </c>
      <c r="K6" s="7">
        <f>$B6 * IFERROR(VLOOKUP("transport|PM25|Asthma symptoms cough", US_national_yearly!$D:$AM, 19, FALSE) / VLOOKUP("transport|PM25|Asthma symptoms cough", US_national_yearly!$D:$AM, 10, FALSE), 1)</f>
        <v>0.13700702584298283</v>
      </c>
      <c r="L6" s="7">
        <f>$B6 * IFERROR(VLOOKUP("transport|PM25|Asthma symptoms cough", US_national_yearly!$D:$AM, 20, FALSE) / VLOOKUP("transport|PM25|Asthma symptoms cough", US_national_yearly!$D:$AM, 10, FALSE), 1)</f>
        <v>0.13700702584298283</v>
      </c>
      <c r="M6" s="7">
        <f>$B6 * IFERROR(VLOOKUP("transport|PM25|Asthma symptoms cough", US_national_yearly!$D:$AM, 21, FALSE) / VLOOKUP("transport|PM25|Asthma symptoms cough", US_national_yearly!$D:$AM, 10, FALSE), 1)</f>
        <v>0.13700702584298283</v>
      </c>
      <c r="N6" s="7">
        <f>$B6 * IFERROR(VLOOKUP("transport|PM25|Asthma symptoms cough", US_national_yearly!$D:$AM, 22, FALSE) / VLOOKUP("transport|PM25|Asthma symptoms cough", US_national_yearly!$D:$AM, 10, FALSE), 1)</f>
        <v>0.13700702584298283</v>
      </c>
      <c r="O6" s="7">
        <f>$B6 * IFERROR(VLOOKUP("transport|PM25|Asthma symptoms cough", US_national_yearly!$D:$AM, 23, FALSE) / VLOOKUP("transport|PM25|Asthma symptoms cough", US_national_yearly!$D:$AM, 10, FALSE), 1)</f>
        <v>0.13700702584298283</v>
      </c>
      <c r="P6" s="7">
        <f>$B6 * IFERROR(VLOOKUP("transport|PM25|Asthma symptoms cough", US_national_yearly!$D:$AM, 24, FALSE) / VLOOKUP("transport|PM25|Asthma symptoms cough", US_national_yearly!$D:$AM, 10, FALSE), 1)</f>
        <v>0.13700702584298283</v>
      </c>
      <c r="Q6" s="7">
        <f>$B6 * IFERROR(VLOOKUP("transport|PM25|Asthma symptoms cough", US_national_yearly!$D:$AM, 25, FALSE) / VLOOKUP("transport|PM25|Asthma symptoms cough", US_national_yearly!$D:$AM, 10, FALSE), 1)</f>
        <v>0.13700702584298283</v>
      </c>
      <c r="R6" s="7">
        <f>$B6 * IFERROR(VLOOKUP("transport|PM25|Asthma symptoms cough", US_national_yearly!$D:$AM, 26, FALSE) / VLOOKUP("transport|PM25|Asthma symptoms cough", US_national_yearly!$D:$AM, 10, FALSE), 1)</f>
        <v>0.13700702584298283</v>
      </c>
      <c r="S6" s="7">
        <f>$B6 * IFERROR(VLOOKUP("transport|PM25|Asthma symptoms cough", US_national_yearly!$D:$AM, 27, FALSE) / VLOOKUP("transport|PM25|Asthma symptoms cough", US_national_yearly!$D:$AM, 10, FALSE), 1)</f>
        <v>0.13700702584298283</v>
      </c>
      <c r="T6" s="7">
        <f>$B6 * IFERROR(VLOOKUP("transport|PM25|Asthma symptoms cough", US_national_yearly!$D:$AM, 28, FALSE) / VLOOKUP("transport|PM25|Asthma symptoms cough", US_national_yearly!$D:$AM, 10, FALSE), 1)</f>
        <v>0.13700702584298283</v>
      </c>
      <c r="U6" s="7">
        <f>$B6 * IFERROR(VLOOKUP("transport|PM25|Asthma symptoms cough", US_national_yearly!$D:$AM, 29, FALSE) / VLOOKUP("transport|PM25|Asthma symptoms cough", US_national_yearly!$D:$AM, 10, FALSE), 1)</f>
        <v>0.13700702584298283</v>
      </c>
      <c r="V6" s="7">
        <f>$B6 * IFERROR(VLOOKUP("transport|PM25|Asthma symptoms cough", US_national_yearly!$D:$AM, 30, FALSE) / VLOOKUP("transport|PM25|Asthma symptoms cough", US_national_yearly!$D:$AM, 10, FALSE), 1)</f>
        <v>0.13700702584298283</v>
      </c>
      <c r="W6" s="7">
        <f>$B6 * IFERROR(VLOOKUP("transport|PM25|Asthma symptoms cough", US_national_yearly!$D:$AM, 31, FALSE) / VLOOKUP("transport|PM25|Asthma symptoms cough", US_national_yearly!$D:$AM, 10, FALSE), 1)</f>
        <v>0.13700702584298283</v>
      </c>
      <c r="X6" s="7">
        <f>$B6 * IFERROR(VLOOKUP("transport|PM25|Asthma symptoms cough", US_national_yearly!$D:$AM, 32, FALSE) / VLOOKUP("transport|PM25|Asthma symptoms cough", US_national_yearly!$D:$AM, 10, FALSE), 1)</f>
        <v>0.13700702584298283</v>
      </c>
      <c r="Y6" s="7">
        <f>$B6 * IFERROR(VLOOKUP("transport|PM25|Asthma symptoms cough", US_national_yearly!$D:$AM, 33, FALSE) / VLOOKUP("transport|PM25|Asthma symptoms cough", US_national_yearly!$D:$AM, 10, FALSE), 1)</f>
        <v>0.13700702584298283</v>
      </c>
      <c r="Z6" s="7">
        <f>$B6 * IFERROR(VLOOKUP("transport|PM25|Asthma symptoms cough", US_national_yearly!$D:$AM, 34, FALSE) / VLOOKUP("transport|PM25|Asthma symptoms cough", US_national_yearly!$D:$AM, 10, FALSE), 1)</f>
        <v>0.13700702584298283</v>
      </c>
      <c r="AA6" s="7">
        <f>$B6 * IFERROR(VLOOKUP("transport|PM25|Asthma symptoms cough", US_national_yearly!$D:$AM, 35, FALSE) / VLOOKUP("transport|PM25|Asthma symptoms cough", US_national_yearly!$D:$AM, 10, FALSE), 1)</f>
        <v>0.13700702584298283</v>
      </c>
      <c r="AB6" s="7">
        <f>$B6 * IFERROR(VLOOKUP("transport|PM25|Asthma symptoms cough", US_national_yearly!$D:$AM, 36, FALSE) / VLOOKUP("transport|PM25|Asthma symptoms cough", US_national_yearly!$D:$AM, 10, FALSE), 1)</f>
        <v>0.13700702584298283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0.18449433430262643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0.18449433430262643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0.18449433430262643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0.18449433430262643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0.18449433430262643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0.18449433430262643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0.18449433430262643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0.18449433430262643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0.18449433430262643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0.18449433430262643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0.18449433430262643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0.18449433430262643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0.18449433430262643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0.18449433430262643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0.18449433430262643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0.18449433430262643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0.18449433430262643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0.18449433430262643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0.18449433430262643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0.18449433430262643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0.18449433430262643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0.18449433430262643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0.18449433430262643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0.18449433430262643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0.18449433430262643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0.18449433430262643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0.18449433430262643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0.28189570870819491</v>
      </c>
      <c r="C8" s="7">
        <f>$B8 * IFERROR(VLOOKUP("transport|PM25|Asthma symptoms wheeze", US_national_yearly!$D:$AM, 11, FALSE) / VLOOKUP("transport|PM25|Asthma symptoms wheeze", US_national_yearly!$D:$AM, 10, FALSE), 1)</f>
        <v>0.28189570870819491</v>
      </c>
      <c r="D8" s="7">
        <f>$B8 * IFERROR(VLOOKUP("transport|PM25|Asthma symptoms wheeze", US_national_yearly!$D:$AM, 12, FALSE) / VLOOKUP("transport|PM25|Asthma symptoms wheeze", US_national_yearly!$D:$AM, 10, FALSE), 1)</f>
        <v>0.28189570870819491</v>
      </c>
      <c r="E8" s="7">
        <f>$B8 * IFERROR(VLOOKUP("transport|PM25|Asthma symptoms wheeze", US_national_yearly!$D:$AM, 13, FALSE) / VLOOKUP("transport|PM25|Asthma symptoms wheeze", US_national_yearly!$D:$AM, 10, FALSE), 1)</f>
        <v>0.28189570870819491</v>
      </c>
      <c r="F8" s="7">
        <f>$B8 * IFERROR(VLOOKUP("transport|PM25|Asthma symptoms wheeze", US_national_yearly!$D:$AM, 14, FALSE) / VLOOKUP("transport|PM25|Asthma symptoms wheeze", US_national_yearly!$D:$AM, 10, FALSE), 1)</f>
        <v>0.28189570870819491</v>
      </c>
      <c r="G8" s="7">
        <f>$B8 * IFERROR(VLOOKUP("transport|PM25|Asthma symptoms wheeze", US_national_yearly!$D:$AM, 15, FALSE) / VLOOKUP("transport|PM25|Asthma symptoms wheeze", US_national_yearly!$D:$AM, 10, FALSE), 1)</f>
        <v>0.28189570870819491</v>
      </c>
      <c r="H8" s="7">
        <f>$B8 * IFERROR(VLOOKUP("transport|PM25|Asthma symptoms wheeze", US_national_yearly!$D:$AM, 16, FALSE) / VLOOKUP("transport|PM25|Asthma symptoms wheeze", US_national_yearly!$D:$AM, 10, FALSE), 1)</f>
        <v>0.28189570870819491</v>
      </c>
      <c r="I8" s="7">
        <f>$B8 * IFERROR(VLOOKUP("transport|PM25|Asthma symptoms wheeze", US_national_yearly!$D:$AM, 17, FALSE) / VLOOKUP("transport|PM25|Asthma symptoms wheeze", US_national_yearly!$D:$AM, 10, FALSE), 1)</f>
        <v>0.28189570870819491</v>
      </c>
      <c r="J8" s="7">
        <f>$B8 * IFERROR(VLOOKUP("transport|PM25|Asthma symptoms wheeze", US_national_yearly!$D:$AM, 18, FALSE) / VLOOKUP("transport|PM25|Asthma symptoms wheeze", US_national_yearly!$D:$AM, 10, FALSE), 1)</f>
        <v>0.28189570870819491</v>
      </c>
      <c r="K8" s="7">
        <f>$B8 * IFERROR(VLOOKUP("transport|PM25|Asthma symptoms wheeze", US_national_yearly!$D:$AM, 19, FALSE) / VLOOKUP("transport|PM25|Asthma symptoms wheeze", US_national_yearly!$D:$AM, 10, FALSE), 1)</f>
        <v>0.28189570870819491</v>
      </c>
      <c r="L8" s="7">
        <f>$B8 * IFERROR(VLOOKUP("transport|PM25|Asthma symptoms wheeze", US_national_yearly!$D:$AM, 20, FALSE) / VLOOKUP("transport|PM25|Asthma symptoms wheeze", US_national_yearly!$D:$AM, 10, FALSE), 1)</f>
        <v>0.28189570870819491</v>
      </c>
      <c r="M8" s="7">
        <f>$B8 * IFERROR(VLOOKUP("transport|PM25|Asthma symptoms wheeze", US_national_yearly!$D:$AM, 21, FALSE) / VLOOKUP("transport|PM25|Asthma symptoms wheeze", US_national_yearly!$D:$AM, 10, FALSE), 1)</f>
        <v>0.28189570870819491</v>
      </c>
      <c r="N8" s="7">
        <f>$B8 * IFERROR(VLOOKUP("transport|PM25|Asthma symptoms wheeze", US_national_yearly!$D:$AM, 22, FALSE) / VLOOKUP("transport|PM25|Asthma symptoms wheeze", US_national_yearly!$D:$AM, 10, FALSE), 1)</f>
        <v>0.28189570870819491</v>
      </c>
      <c r="O8" s="7">
        <f>$B8 * IFERROR(VLOOKUP("transport|PM25|Asthma symptoms wheeze", US_national_yearly!$D:$AM, 23, FALSE) / VLOOKUP("transport|PM25|Asthma symptoms wheeze", US_national_yearly!$D:$AM, 10, FALSE), 1)</f>
        <v>0.28189570870819491</v>
      </c>
      <c r="P8" s="7">
        <f>$B8 * IFERROR(VLOOKUP("transport|PM25|Asthma symptoms wheeze", US_national_yearly!$D:$AM, 24, FALSE) / VLOOKUP("transport|PM25|Asthma symptoms wheeze", US_national_yearly!$D:$AM, 10, FALSE), 1)</f>
        <v>0.28189570870819491</v>
      </c>
      <c r="Q8" s="7">
        <f>$B8 * IFERROR(VLOOKUP("transport|PM25|Asthma symptoms wheeze", US_national_yearly!$D:$AM, 25, FALSE) / VLOOKUP("transport|PM25|Asthma symptoms wheeze", US_national_yearly!$D:$AM, 10, FALSE), 1)</f>
        <v>0.28189570870819491</v>
      </c>
      <c r="R8" s="7">
        <f>$B8 * IFERROR(VLOOKUP("transport|PM25|Asthma symptoms wheeze", US_national_yearly!$D:$AM, 26, FALSE) / VLOOKUP("transport|PM25|Asthma symptoms wheeze", US_national_yearly!$D:$AM, 10, FALSE), 1)</f>
        <v>0.28189570870819491</v>
      </c>
      <c r="S8" s="7">
        <f>$B8 * IFERROR(VLOOKUP("transport|PM25|Asthma symptoms wheeze", US_national_yearly!$D:$AM, 27, FALSE) / VLOOKUP("transport|PM25|Asthma symptoms wheeze", US_national_yearly!$D:$AM, 10, FALSE), 1)</f>
        <v>0.28189570870819491</v>
      </c>
      <c r="T8" s="7">
        <f>$B8 * IFERROR(VLOOKUP("transport|PM25|Asthma symptoms wheeze", US_national_yearly!$D:$AM, 28, FALSE) / VLOOKUP("transport|PM25|Asthma symptoms wheeze", US_national_yearly!$D:$AM, 10, FALSE), 1)</f>
        <v>0.28189570870819491</v>
      </c>
      <c r="U8" s="7">
        <f>$B8 * IFERROR(VLOOKUP("transport|PM25|Asthma symptoms wheeze", US_national_yearly!$D:$AM, 29, FALSE) / VLOOKUP("transport|PM25|Asthma symptoms wheeze", US_national_yearly!$D:$AM, 10, FALSE), 1)</f>
        <v>0.28189570870819491</v>
      </c>
      <c r="V8" s="7">
        <f>$B8 * IFERROR(VLOOKUP("transport|PM25|Asthma symptoms wheeze", US_national_yearly!$D:$AM, 30, FALSE) / VLOOKUP("transport|PM25|Asthma symptoms wheeze", US_national_yearly!$D:$AM, 10, FALSE), 1)</f>
        <v>0.28189570870819491</v>
      </c>
      <c r="W8" s="7">
        <f>$B8 * IFERROR(VLOOKUP("transport|PM25|Asthma symptoms wheeze", US_national_yearly!$D:$AM, 31, FALSE) / VLOOKUP("transport|PM25|Asthma symptoms wheeze", US_national_yearly!$D:$AM, 10, FALSE), 1)</f>
        <v>0.28189570870819491</v>
      </c>
      <c r="X8" s="7">
        <f>$B8 * IFERROR(VLOOKUP("transport|PM25|Asthma symptoms wheeze", US_national_yearly!$D:$AM, 32, FALSE) / VLOOKUP("transport|PM25|Asthma symptoms wheeze", US_national_yearly!$D:$AM, 10, FALSE), 1)</f>
        <v>0.28189570870819491</v>
      </c>
      <c r="Y8" s="7">
        <f>$B8 * IFERROR(VLOOKUP("transport|PM25|Asthma symptoms wheeze", US_national_yearly!$D:$AM, 33, FALSE) / VLOOKUP("transport|PM25|Asthma symptoms wheeze", US_national_yearly!$D:$AM, 10, FALSE), 1)</f>
        <v>0.28189570870819491</v>
      </c>
      <c r="Z8" s="7">
        <f>$B8 * IFERROR(VLOOKUP("transport|PM25|Asthma symptoms wheeze", US_national_yearly!$D:$AM, 34, FALSE) / VLOOKUP("transport|PM25|Asthma symptoms wheeze", US_national_yearly!$D:$AM, 10, FALSE), 1)</f>
        <v>0.28189570870819491</v>
      </c>
      <c r="AA8" s="7">
        <f>$B8 * IFERROR(VLOOKUP("transport|PM25|Asthma symptoms wheeze", US_national_yearly!$D:$AM, 35, FALSE) / VLOOKUP("transport|PM25|Asthma symptoms wheeze", US_national_yearly!$D:$AM, 10, FALSE), 1)</f>
        <v>0.28189570870819491</v>
      </c>
      <c r="AB8" s="7">
        <f>$B8 * IFERROR(VLOOKUP("transport|PM25|Asthma symptoms wheeze", US_national_yearly!$D:$AM, 36, FALSE) / VLOOKUP("transport|PM25|Asthma symptoms wheeze", US_national_yearly!$D:$AM, 10, FALSE), 1)</f>
        <v>0.28189570870819491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2.6529883748001646E-3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2.6681942348591101E-3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2.683400094918055E-3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2.6986059549770004E-3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2.713811815035945E-3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2.7302347925097586E-3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2.7466577699835721E-3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2.7623493009932094E-3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2.778040832002848E-3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2.7937323630124861E-3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2.8094238940221247E-3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2.825115425031762E-3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2.836377694744954E-3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2.8476399644581456E-3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2.8589022341713368E-3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2.8701645038845284E-3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2.8814267735977209E-3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2.8921499383699717E-3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2.9028731031422238E-3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2.9135962679144745E-3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2.9243194326867257E-3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2.9350425974589769E-3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2.9453584187563975E-3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2.9556742400538168E-3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2.9659900613512365E-3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2.9763058826486558E-3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2.9866217039460755E-3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1.6501034872444392E-2</v>
      </c>
      <c r="C13" s="7">
        <f>$B13 * IFERROR(VLOOKUP("transport|PM25|Non-fatal heart attacks", US_national_yearly!$D:$AM, 11, FALSE) / VLOOKUP("transport|PM25|Non-fatal heart attacks", US_national_yearly!$D:$AM, 10, FALSE), 1)</f>
        <v>1.6980763744921284E-2</v>
      </c>
      <c r="D13" s="7">
        <f>$B13 * IFERROR(VLOOKUP("transport|PM25|Non-fatal heart attacks", US_national_yearly!$D:$AM, 12, FALSE) / VLOOKUP("transport|PM25|Non-fatal heart attacks", US_national_yearly!$D:$AM, 10, FALSE), 1)</f>
        <v>1.7460492617398175E-2</v>
      </c>
      <c r="E13" s="7">
        <f>$B13 * IFERROR(VLOOKUP("transport|PM25|Non-fatal heart attacks", US_national_yearly!$D:$AM, 13, FALSE) / VLOOKUP("transport|PM25|Non-fatal heart attacks", US_national_yearly!$D:$AM, 10, FALSE), 1)</f>
        <v>1.7940221489875067E-2</v>
      </c>
      <c r="F13" s="7">
        <f>$B13 * IFERROR(VLOOKUP("transport|PM25|Non-fatal heart attacks", US_national_yearly!$D:$AM, 14, FALSE) / VLOOKUP("transport|PM25|Non-fatal heart attacks", US_national_yearly!$D:$AM, 10, FALSE), 1)</f>
        <v>1.8419950362351962E-2</v>
      </c>
      <c r="G13" s="7">
        <f>$B13 * IFERROR(VLOOKUP("transport|PM25|Non-fatal heart attacks", US_national_yearly!$D:$AM, 15, FALSE) / VLOOKUP("transport|PM25|Non-fatal heart attacks", US_national_yearly!$D:$AM, 10, FALSE), 1)</f>
        <v>1.8872365016969019E-2</v>
      </c>
      <c r="H13" s="7">
        <f>$B13 * IFERROR(VLOOKUP("transport|PM25|Non-fatal heart attacks", US_national_yearly!$D:$AM, 16, FALSE) / VLOOKUP("transport|PM25|Non-fatal heart attacks", US_national_yearly!$D:$AM, 10, FALSE), 1)</f>
        <v>1.9324779671586072E-2</v>
      </c>
      <c r="I13" s="7">
        <f>$B13 * IFERROR(VLOOKUP("transport|PM25|Non-fatal heart attacks", US_national_yearly!$D:$AM, 17, FALSE) / VLOOKUP("transport|PM25|Non-fatal heart attacks", US_national_yearly!$D:$AM, 10, FALSE), 1)</f>
        <v>1.9688370510657256E-2</v>
      </c>
      <c r="J13" s="7">
        <f>$B13 * IFERROR(VLOOKUP("transport|PM25|Non-fatal heart attacks", US_national_yearly!$D:$AM, 18, FALSE) / VLOOKUP("transport|PM25|Non-fatal heart attacks", US_national_yearly!$D:$AM, 10, FALSE), 1)</f>
        <v>2.0051961349728444E-2</v>
      </c>
      <c r="K13" s="7">
        <f>$B13 * IFERROR(VLOOKUP("transport|PM25|Non-fatal heart attacks", US_national_yearly!$D:$AM, 19, FALSE) / VLOOKUP("transport|PM25|Non-fatal heart attacks", US_national_yearly!$D:$AM, 10, FALSE), 1)</f>
        <v>2.0415552188799632E-2</v>
      </c>
      <c r="L13" s="7">
        <f>$B13 * IFERROR(VLOOKUP("transport|PM25|Non-fatal heart attacks", US_national_yearly!$D:$AM, 20, FALSE) / VLOOKUP("transport|PM25|Non-fatal heart attacks", US_national_yearly!$D:$AM, 10, FALSE), 1)</f>
        <v>2.0779143027870817E-2</v>
      </c>
      <c r="M13" s="7">
        <f>$B13 * IFERROR(VLOOKUP("transport|PM25|Non-fatal heart attacks", US_national_yearly!$D:$AM, 21, FALSE) / VLOOKUP("transport|PM25|Non-fatal heart attacks", US_national_yearly!$D:$AM, 10, FALSE), 1)</f>
        <v>2.1142733866942008E-2</v>
      </c>
      <c r="N13" s="7">
        <f>$B13 * IFERROR(VLOOKUP("transport|PM25|Non-fatal heart attacks", US_national_yearly!$D:$AM, 22, FALSE) / VLOOKUP("transport|PM25|Non-fatal heart attacks", US_national_yearly!$D:$AM, 10, FALSE), 1)</f>
        <v>2.1377214055191111E-2</v>
      </c>
      <c r="O13" s="7">
        <f>$B13 * IFERROR(VLOOKUP("transport|PM25|Non-fatal heart attacks", US_national_yearly!$D:$AM, 23, FALSE) / VLOOKUP("transport|PM25|Non-fatal heart attacks", US_national_yearly!$D:$AM, 10, FALSE), 1)</f>
        <v>2.161169424344022E-2</v>
      </c>
      <c r="P13" s="7">
        <f>$B13 * IFERROR(VLOOKUP("transport|PM25|Non-fatal heart attacks", US_national_yearly!$D:$AM, 24, FALSE) / VLOOKUP("transport|PM25|Non-fatal heart attacks", US_national_yearly!$D:$AM, 10, FALSE), 1)</f>
        <v>2.184617443168933E-2</v>
      </c>
      <c r="Q13" s="7">
        <f>$B13 * IFERROR(VLOOKUP("transport|PM25|Non-fatal heart attacks", US_national_yearly!$D:$AM, 25, FALSE) / VLOOKUP("transport|PM25|Non-fatal heart attacks", US_national_yearly!$D:$AM, 10, FALSE), 1)</f>
        <v>2.2080654619938432E-2</v>
      </c>
      <c r="R13" s="7">
        <f>$B13 * IFERROR(VLOOKUP("transport|PM25|Non-fatal heart attacks", US_national_yearly!$D:$AM, 26, FALSE) / VLOOKUP("transport|PM25|Non-fatal heart attacks", US_national_yearly!$D:$AM, 10, FALSE), 1)</f>
        <v>2.2315134808187542E-2</v>
      </c>
      <c r="S13" s="7">
        <f>$B13 * IFERROR(VLOOKUP("transport|PM25|Non-fatal heart attacks", US_national_yearly!$D:$AM, 27, FALSE) / VLOOKUP("transport|PM25|Non-fatal heart attacks", US_national_yearly!$D:$AM, 10, FALSE), 1)</f>
        <v>2.2438618774367373E-2</v>
      </c>
      <c r="T13" s="7">
        <f>$B13 * IFERROR(VLOOKUP("transport|PM25|Non-fatal heart attacks", US_national_yearly!$D:$AM, 28, FALSE) / VLOOKUP("transport|PM25|Non-fatal heart attacks", US_national_yearly!$D:$AM, 10, FALSE), 1)</f>
        <v>2.2562102740547211E-2</v>
      </c>
      <c r="U13" s="7">
        <f>$B13 * IFERROR(VLOOKUP("transport|PM25|Non-fatal heart attacks", US_national_yearly!$D:$AM, 29, FALSE) / VLOOKUP("transport|PM25|Non-fatal heart attacks", US_national_yearly!$D:$AM, 10, FALSE), 1)</f>
        <v>2.2685586706727053E-2</v>
      </c>
      <c r="V13" s="7">
        <f>$B13 * IFERROR(VLOOKUP("transport|PM25|Non-fatal heart attacks", US_national_yearly!$D:$AM, 30, FALSE) / VLOOKUP("transport|PM25|Non-fatal heart attacks", US_national_yearly!$D:$AM, 10, FALSE), 1)</f>
        <v>2.2809070672906887E-2</v>
      </c>
      <c r="W13" s="7">
        <f>$B13 * IFERROR(VLOOKUP("transport|PM25|Non-fatal heart attacks", US_national_yearly!$D:$AM, 31, FALSE) / VLOOKUP("transport|PM25|Non-fatal heart attacks", US_national_yearly!$D:$AM, 10, FALSE), 1)</f>
        <v>2.2932554639086722E-2</v>
      </c>
      <c r="X13" s="7">
        <f>$B13 * IFERROR(VLOOKUP("transport|PM25|Non-fatal heart attacks", US_national_yearly!$D:$AM, 32, FALSE) / VLOOKUP("transport|PM25|Non-fatal heart attacks", US_national_yearly!$D:$AM, 10, FALSE), 1)</f>
        <v>2.3026296824831764E-2</v>
      </c>
      <c r="Y13" s="7">
        <f>$B13 * IFERROR(VLOOKUP("transport|PM25|Non-fatal heart attacks", US_national_yearly!$D:$AM, 33, FALSE) / VLOOKUP("transport|PM25|Non-fatal heart attacks", US_national_yearly!$D:$AM, 10, FALSE), 1)</f>
        <v>2.3120039010576805E-2</v>
      </c>
      <c r="Z13" s="7">
        <f>$B13 * IFERROR(VLOOKUP("transport|PM25|Non-fatal heart attacks", US_national_yearly!$D:$AM, 34, FALSE) / VLOOKUP("transport|PM25|Non-fatal heart attacks", US_national_yearly!$D:$AM, 10, FALSE), 1)</f>
        <v>2.3213781196321847E-2</v>
      </c>
      <c r="AA13" s="7">
        <f>$B13 * IFERROR(VLOOKUP("transport|PM25|Non-fatal heart attacks", US_national_yearly!$D:$AM, 35, FALSE) / VLOOKUP("transport|PM25|Non-fatal heart attacks", US_national_yearly!$D:$AM, 10, FALSE), 1)</f>
        <v>2.3307523382066889E-2</v>
      </c>
      <c r="AB13" s="7">
        <f>$B13 * IFERROR(VLOOKUP("transport|PM25|Non-fatal heart attacks", US_national_yearly!$D:$AM, 36, FALSE) / VLOOKUP("transport|PM25|Non-fatal heart attacks", US_national_yearly!$D:$AM, 10, FALSE), 1)</f>
        <v>2.340126556781193E-2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15.53627531242798</v>
      </c>
      <c r="C14" s="7">
        <f>$B14 * IFERROR(VLOOKUP("transport|PM25|Minor restricted activity days", US_national_yearly!$D:$AM, 11, FALSE) / VLOOKUP("transport|PM25|Minor restricted activity days", US_national_yearly!$D:$AM, 10, FALSE), 1)</f>
        <v>15.57421673920155</v>
      </c>
      <c r="D14" s="7">
        <f>$B14 * IFERROR(VLOOKUP("transport|PM25|Minor restricted activity days", US_national_yearly!$D:$AM, 12, FALSE) / VLOOKUP("transport|PM25|Minor restricted activity days", US_national_yearly!$D:$AM, 10, FALSE), 1)</f>
        <v>15.612158165975121</v>
      </c>
      <c r="E14" s="7">
        <f>$B14 * IFERROR(VLOOKUP("transport|PM25|Minor restricted activity days", US_national_yearly!$D:$AM, 13, FALSE) / VLOOKUP("transport|PM25|Minor restricted activity days", US_national_yearly!$D:$AM, 10, FALSE), 1)</f>
        <v>15.650099592748694</v>
      </c>
      <c r="F14" s="7">
        <f>$B14 * IFERROR(VLOOKUP("transport|PM25|Minor restricted activity days", US_national_yearly!$D:$AM, 14, FALSE) / VLOOKUP("transport|PM25|Minor restricted activity days", US_national_yearly!$D:$AM, 10, FALSE), 1)</f>
        <v>15.688041019522259</v>
      </c>
      <c r="G14" s="7">
        <f>$B14 * IFERROR(VLOOKUP("transport|PM25|Minor restricted activity days", US_national_yearly!$D:$AM, 15, FALSE) / VLOOKUP("transport|PM25|Minor restricted activity days", US_national_yearly!$D:$AM, 10, FALSE), 1)</f>
        <v>15.744022459238158</v>
      </c>
      <c r="H14" s="7">
        <f>$B14 * IFERROR(VLOOKUP("transport|PM25|Minor restricted activity days", US_national_yearly!$D:$AM, 16, FALSE) / VLOOKUP("transport|PM25|Minor restricted activity days", US_national_yearly!$D:$AM, 10, FALSE), 1)</f>
        <v>15.800003898954056</v>
      </c>
      <c r="I14" s="7">
        <f>$B14 * IFERROR(VLOOKUP("transport|PM25|Minor restricted activity days", US_national_yearly!$D:$AM, 17, FALSE) / VLOOKUP("transport|PM25|Minor restricted activity days", US_national_yearly!$D:$AM, 10, FALSE), 1)</f>
        <v>15.895706525334061</v>
      </c>
      <c r="J14" s="7">
        <f>$B14 * IFERROR(VLOOKUP("transport|PM25|Minor restricted activity days", US_national_yearly!$D:$AM, 18, FALSE) / VLOOKUP("transport|PM25|Minor restricted activity days", US_national_yearly!$D:$AM, 10, FALSE), 1)</f>
        <v>15.991409151714057</v>
      </c>
      <c r="K14" s="7">
        <f>$B14 * IFERROR(VLOOKUP("transport|PM25|Minor restricted activity days", US_national_yearly!$D:$AM, 19, FALSE) / VLOOKUP("transport|PM25|Minor restricted activity days", US_national_yearly!$D:$AM, 10, FALSE), 1)</f>
        <v>16.087111778094062</v>
      </c>
      <c r="L14" s="7">
        <f>$B14 * IFERROR(VLOOKUP("transport|PM25|Minor restricted activity days", US_national_yearly!$D:$AM, 20, FALSE) / VLOOKUP("transport|PM25|Minor restricted activity days", US_national_yearly!$D:$AM, 10, FALSE), 1)</f>
        <v>16.182814404474062</v>
      </c>
      <c r="M14" s="7">
        <f>$B14 * IFERROR(VLOOKUP("transport|PM25|Minor restricted activity days", US_national_yearly!$D:$AM, 21, FALSE) / VLOOKUP("transport|PM25|Minor restricted activity days", US_national_yearly!$D:$AM, 10, FALSE), 1)</f>
        <v>16.278517030854061</v>
      </c>
      <c r="N14" s="7">
        <f>$B14 * IFERROR(VLOOKUP("transport|PM25|Minor restricted activity days", US_national_yearly!$D:$AM, 22, FALSE) / VLOOKUP("transport|PM25|Minor restricted activity days", US_national_yearly!$D:$AM, 10, FALSE), 1)</f>
        <v>16.40888306234265</v>
      </c>
      <c r="O14" s="7">
        <f>$B14 * IFERROR(VLOOKUP("transport|PM25|Minor restricted activity days", US_national_yearly!$D:$AM, 23, FALSE) / VLOOKUP("transport|PM25|Minor restricted activity days", US_national_yearly!$D:$AM, 10, FALSE), 1)</f>
        <v>16.539249093831234</v>
      </c>
      <c r="P14" s="7">
        <f>$B14 * IFERROR(VLOOKUP("transport|PM25|Minor restricted activity days", US_national_yearly!$D:$AM, 24, FALSE) / VLOOKUP("transport|PM25|Minor restricted activity days", US_national_yearly!$D:$AM, 10, FALSE), 1)</f>
        <v>16.669615125319822</v>
      </c>
      <c r="Q14" s="7">
        <f>$B14 * IFERROR(VLOOKUP("transport|PM25|Minor restricted activity days", US_national_yearly!$D:$AM, 25, FALSE) / VLOOKUP("transport|PM25|Minor restricted activity days", US_national_yearly!$D:$AM, 10, FALSE), 1)</f>
        <v>16.799981156808407</v>
      </c>
      <c r="R14" s="7">
        <f>$B14 * IFERROR(VLOOKUP("transport|PM25|Minor restricted activity days", US_national_yearly!$D:$AM, 26, FALSE) / VLOOKUP("transport|PM25|Minor restricted activity days", US_national_yearly!$D:$AM, 10, FALSE), 1)</f>
        <v>16.930347188296988</v>
      </c>
      <c r="S14" s="7">
        <f>$B14 * IFERROR(VLOOKUP("transport|PM25|Minor restricted activity days", US_national_yearly!$D:$AM, 27, FALSE) / VLOOKUP("transport|PM25|Minor restricted activity days", US_national_yearly!$D:$AM, 10, FALSE), 1)</f>
        <v>17.061611007926174</v>
      </c>
      <c r="T14" s="7">
        <f>$B14 * IFERROR(VLOOKUP("transport|PM25|Minor restricted activity days", US_national_yearly!$D:$AM, 28, FALSE) / VLOOKUP("transport|PM25|Minor restricted activity days", US_national_yearly!$D:$AM, 10, FALSE), 1)</f>
        <v>17.192874827555361</v>
      </c>
      <c r="U14" s="7">
        <f>$B14 * IFERROR(VLOOKUP("transport|PM25|Minor restricted activity days", US_national_yearly!$D:$AM, 29, FALSE) / VLOOKUP("transport|PM25|Minor restricted activity days", US_national_yearly!$D:$AM, 10, FALSE), 1)</f>
        <v>17.324138647184544</v>
      </c>
      <c r="V14" s="7">
        <f>$B14 * IFERROR(VLOOKUP("transport|PM25|Minor restricted activity days", US_national_yearly!$D:$AM, 30, FALSE) / VLOOKUP("transport|PM25|Minor restricted activity days", US_national_yearly!$D:$AM, 10, FALSE), 1)</f>
        <v>17.45540246681373</v>
      </c>
      <c r="W14" s="7">
        <f>$B14 * IFERROR(VLOOKUP("transport|PM25|Minor restricted activity days", US_national_yearly!$D:$AM, 31, FALSE) / VLOOKUP("transport|PM25|Minor restricted activity days", US_national_yearly!$D:$AM, 10, FALSE), 1)</f>
        <v>17.586666286442913</v>
      </c>
      <c r="X14" s="7">
        <f>$B14 * IFERROR(VLOOKUP("transport|PM25|Minor restricted activity days", US_national_yearly!$D:$AM, 32, FALSE) / VLOOKUP("transport|PM25|Minor restricted activity days", US_national_yearly!$D:$AM, 10, FALSE), 1)</f>
        <v>17.700616487272551</v>
      </c>
      <c r="Y14" s="7">
        <f>$B14 * IFERROR(VLOOKUP("transport|PM25|Minor restricted activity days", US_national_yearly!$D:$AM, 33, FALSE) / VLOOKUP("transport|PM25|Minor restricted activity days", US_national_yearly!$D:$AM, 10, FALSE), 1)</f>
        <v>17.814566688102186</v>
      </c>
      <c r="Z14" s="7">
        <f>$B14 * IFERROR(VLOOKUP("transport|PM25|Minor restricted activity days", US_national_yearly!$D:$AM, 34, FALSE) / VLOOKUP("transport|PM25|Minor restricted activity days", US_national_yearly!$D:$AM, 10, FALSE), 1)</f>
        <v>17.928516888931821</v>
      </c>
      <c r="AA14" s="7">
        <f>$B14 * IFERROR(VLOOKUP("transport|PM25|Minor restricted activity days", US_national_yearly!$D:$AM, 35, FALSE) / VLOOKUP("transport|PM25|Minor restricted activity days", US_national_yearly!$D:$AM, 10, FALSE), 1)</f>
        <v>18.042467089761452</v>
      </c>
      <c r="AB14" s="7">
        <f>$B14 * IFERROR(VLOOKUP("transport|PM25|Minor restricted activity days", US_national_yearly!$D:$AM, 36, FALSE) / VLOOKUP("transport|PM25|Minor restricted activity days", US_national_yearly!$D:$AM, 10, FALSE), 1)</f>
        <v>18.156417290591087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2.6501031244536044</v>
      </c>
      <c r="C15" s="7">
        <f>$B15 * IFERROR(VLOOKUP("transport|PM25|Work loss days", US_national_yearly!$D:$AM, 11, FALSE) / VLOOKUP("transport|PM25|Work loss days", US_national_yearly!$D:$AM, 10, FALSE), 1)</f>
        <v>2.6583174896496606</v>
      </c>
      <c r="D15" s="7">
        <f>$B15 * IFERROR(VLOOKUP("transport|PM25|Work loss days", US_national_yearly!$D:$AM, 12, FALSE) / VLOOKUP("transport|PM25|Work loss days", US_national_yearly!$D:$AM, 10, FALSE), 1)</f>
        <v>2.6665318548457173</v>
      </c>
      <c r="E15" s="7">
        <f>$B15 * IFERROR(VLOOKUP("transport|PM25|Work loss days", US_national_yearly!$D:$AM, 13, FALSE) / VLOOKUP("transport|PM25|Work loss days", US_national_yearly!$D:$AM, 10, FALSE), 1)</f>
        <v>2.6747462200417735</v>
      </c>
      <c r="F15" s="7">
        <f>$B15 * IFERROR(VLOOKUP("transport|PM25|Work loss days", US_national_yearly!$D:$AM, 14, FALSE) / VLOOKUP("transport|PM25|Work loss days", US_national_yearly!$D:$AM, 10, FALSE), 1)</f>
        <v>2.6829605852378298</v>
      </c>
      <c r="G15" s="7">
        <f>$B15 * IFERROR(VLOOKUP("transport|PM25|Work loss days", US_national_yearly!$D:$AM, 15, FALSE) / VLOOKUP("transport|PM25|Work loss days", US_national_yearly!$D:$AM, 10, FALSE), 1)</f>
        <v>2.6937301421763808</v>
      </c>
      <c r="H15" s="7">
        <f>$B15 * IFERROR(VLOOKUP("transport|PM25|Work loss days", US_national_yearly!$D:$AM, 16, FALSE) / VLOOKUP("transport|PM25|Work loss days", US_national_yearly!$D:$AM, 10, FALSE), 1)</f>
        <v>2.7044996991149328</v>
      </c>
      <c r="I15" s="7">
        <f>$B15 * IFERROR(VLOOKUP("transport|PM25|Work loss days", US_national_yearly!$D:$AM, 17, FALSE) / VLOOKUP("transport|PM25|Work loss days", US_national_yearly!$D:$AM, 10, FALSE), 1)</f>
        <v>2.7203590561956776</v>
      </c>
      <c r="J15" s="7">
        <f>$B15 * IFERROR(VLOOKUP("transport|PM25|Work loss days", US_national_yearly!$D:$AM, 18, FALSE) / VLOOKUP("transport|PM25|Work loss days", US_national_yearly!$D:$AM, 10, FALSE), 1)</f>
        <v>2.7362184132764225</v>
      </c>
      <c r="K15" s="7">
        <f>$B15 * IFERROR(VLOOKUP("transport|PM25|Work loss days", US_national_yearly!$D:$AM, 19, FALSE) / VLOOKUP("transport|PM25|Work loss days", US_national_yearly!$D:$AM, 10, FALSE), 1)</f>
        <v>2.7520777703571673</v>
      </c>
      <c r="L15" s="7">
        <f>$B15 * IFERROR(VLOOKUP("transport|PM25|Work loss days", US_national_yearly!$D:$AM, 20, FALSE) / VLOOKUP("transport|PM25|Work loss days", US_national_yearly!$D:$AM, 10, FALSE), 1)</f>
        <v>2.7679371274379121</v>
      </c>
      <c r="M15" s="7">
        <f>$B15 * IFERROR(VLOOKUP("transport|PM25|Work loss days", US_national_yearly!$D:$AM, 21, FALSE) / VLOOKUP("transport|PM25|Work loss days", US_national_yearly!$D:$AM, 10, FALSE), 1)</f>
        <v>2.7837964845186569</v>
      </c>
      <c r="N15" s="7">
        <f>$B15 * IFERROR(VLOOKUP("transport|PM25|Work loss days", US_national_yearly!$D:$AM, 22, FALSE) / VLOOKUP("transport|PM25|Work loss days", US_national_yearly!$D:$AM, 10, FALSE), 1)</f>
        <v>2.8037566857804976</v>
      </c>
      <c r="O15" s="7">
        <f>$B15 * IFERROR(VLOOKUP("transport|PM25|Work loss days", US_national_yearly!$D:$AM, 23, FALSE) / VLOOKUP("transport|PM25|Work loss days", US_national_yearly!$D:$AM, 10, FALSE), 1)</f>
        <v>2.8237168870423379</v>
      </c>
      <c r="P15" s="7">
        <f>$B15 * IFERROR(VLOOKUP("transport|PM25|Work loss days", US_national_yearly!$D:$AM, 24, FALSE) / VLOOKUP("transport|PM25|Work loss days", US_national_yearly!$D:$AM, 10, FALSE), 1)</f>
        <v>2.8436770883041786</v>
      </c>
      <c r="Q15" s="7">
        <f>$B15 * IFERROR(VLOOKUP("transport|PM25|Work loss days", US_national_yearly!$D:$AM, 25, FALSE) / VLOOKUP("transport|PM25|Work loss days", US_national_yearly!$D:$AM, 10, FALSE), 1)</f>
        <v>2.8636372895660189</v>
      </c>
      <c r="R15" s="7">
        <f>$B15 * IFERROR(VLOOKUP("transport|PM25|Work loss days", US_national_yearly!$D:$AM, 26, FALSE) / VLOOKUP("transport|PM25|Work loss days", US_national_yearly!$D:$AM, 10, FALSE), 1)</f>
        <v>2.8835974908278597</v>
      </c>
      <c r="S15" s="7">
        <f>$B15 * IFERROR(VLOOKUP("transport|PM25|Work loss days", US_national_yearly!$D:$AM, 27, FALSE) / VLOOKUP("transport|PM25|Work loss days", US_national_yearly!$D:$AM, 10, FALSE), 1)</f>
        <v>2.9056743255933717</v>
      </c>
      <c r="T15" s="7">
        <f>$B15 * IFERROR(VLOOKUP("transport|PM25|Work loss days", US_national_yearly!$D:$AM, 28, FALSE) / VLOOKUP("transport|PM25|Work loss days", US_national_yearly!$D:$AM, 10, FALSE), 1)</f>
        <v>2.9277511603588842</v>
      </c>
      <c r="U15" s="7">
        <f>$B15 * IFERROR(VLOOKUP("transport|PM25|Work loss days", US_national_yearly!$D:$AM, 29, FALSE) / VLOOKUP("transport|PM25|Work loss days", US_national_yearly!$D:$AM, 10, FALSE), 1)</f>
        <v>2.9498279951243953</v>
      </c>
      <c r="V15" s="7">
        <f>$B15 * IFERROR(VLOOKUP("transport|PM25|Work loss days", US_national_yearly!$D:$AM, 30, FALSE) / VLOOKUP("transport|PM25|Work loss days", US_national_yearly!$D:$AM, 10, FALSE), 1)</f>
        <v>2.9719048298899078</v>
      </c>
      <c r="W15" s="7">
        <f>$B15 * IFERROR(VLOOKUP("transport|PM25|Work loss days", US_national_yearly!$D:$AM, 31, FALSE) / VLOOKUP("transport|PM25|Work loss days", US_national_yearly!$D:$AM, 10, FALSE), 1)</f>
        <v>2.9939816646554198</v>
      </c>
      <c r="X15" s="7">
        <f>$B15 * IFERROR(VLOOKUP("transport|PM25|Work loss days", US_national_yearly!$D:$AM, 32, FALSE) / VLOOKUP("transport|PM25|Work loss days", US_national_yearly!$D:$AM, 10, FALSE), 1)</f>
        <v>3.0135697712947356</v>
      </c>
      <c r="Y15" s="7">
        <f>$B15 * IFERROR(VLOOKUP("transport|PM25|Work loss days", US_national_yearly!$D:$AM, 33, FALSE) / VLOOKUP("transport|PM25|Work loss days", US_national_yearly!$D:$AM, 10, FALSE), 1)</f>
        <v>3.0331578779340518</v>
      </c>
      <c r="Z15" s="7">
        <f>$B15 * IFERROR(VLOOKUP("transport|PM25|Work loss days", US_national_yearly!$D:$AM, 34, FALSE) / VLOOKUP("transport|PM25|Work loss days", US_national_yearly!$D:$AM, 10, FALSE), 1)</f>
        <v>3.0527459845733689</v>
      </c>
      <c r="AA15" s="7">
        <f>$B15 * IFERROR(VLOOKUP("transport|PM25|Work loss days", US_national_yearly!$D:$AM, 35, FALSE) / VLOOKUP("transport|PM25|Work loss days", US_national_yearly!$D:$AM, 10, FALSE), 1)</f>
        <v>3.0723340912126855</v>
      </c>
      <c r="AB15" s="7">
        <f>$B15 * IFERROR(VLOOKUP("transport|PM25|Work loss days", US_national_yearly!$D:$AM, 36, FALSE) / VLOOKUP("transport|PM25|Work loss days", US_national_yearly!$D:$AM, 10, FALSE), 1)</f>
        <v>3.0919221978520017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4.0696241065326082E-3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4.19122731265329E-3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4.3128305187739736E-3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4.4344337248946562E-3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4.5560369310153389E-3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4.6725110808933917E-3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4.7889852307714462E-3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4.8886003184343291E-3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4.9882154060972113E-3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5.0878304937600934E-3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5.1874455814229772E-3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5.2870606690858602E-3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5.3534763223759543E-3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5.4198919756660502E-3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5.4863076289561451E-3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5.552723282246241E-3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5.619138935536336E-3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5.6542790167631689E-3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5.6894190979900018E-3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5.7245591792168329E-3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5.759699260443665E-3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5.794839341670497E-3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5.8184961065839797E-3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5.8421528714974616E-3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5.8658096364109435E-3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5.8894664013244254E-3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5.9131231662379073E-3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1.5873277352392568E-3</v>
      </c>
      <c r="C2" s="7">
        <f>$B2 * IFERROR(VLOOKUP("transport|NOx|Premature mortality", US_national_yearly!$D:$AM, 11, FALSE) / VLOOKUP("transport|NOx|Premature mortality", US_national_yearly!$D:$AM, 10, FALSE), 1)</f>
        <v>1.610642896684022E-3</v>
      </c>
      <c r="D2" s="7">
        <f>$B2 * IFERROR(VLOOKUP("transport|NOx|Premature mortality", US_national_yearly!$D:$AM, 12, FALSE) / VLOOKUP("transport|NOx|Premature mortality", US_national_yearly!$D:$AM, 10, FALSE), 1)</f>
        <v>1.6339580581287867E-3</v>
      </c>
      <c r="E2" s="7">
        <f>$B2 * IFERROR(VLOOKUP("transport|NOx|Premature mortality", US_national_yearly!$D:$AM, 13, FALSE) / VLOOKUP("transport|NOx|Premature mortality", US_national_yearly!$D:$AM, 10, FALSE), 1)</f>
        <v>1.657273219573552E-3</v>
      </c>
      <c r="F2" s="7">
        <f>$B2 * IFERROR(VLOOKUP("transport|NOx|Premature mortality", US_national_yearly!$D:$AM, 14, FALSE) / VLOOKUP("transport|NOx|Premature mortality", US_national_yearly!$D:$AM, 10, FALSE), 1)</f>
        <v>1.6805883810183172E-3</v>
      </c>
      <c r="G2" s="7">
        <f>$B2 * IFERROR(VLOOKUP("transport|NOx|Premature mortality", US_national_yearly!$D:$AM, 15, FALSE) / VLOOKUP("transport|NOx|Premature mortality", US_national_yearly!$D:$AM, 10, FALSE), 1)</f>
        <v>1.7224679232416085E-3</v>
      </c>
      <c r="H2" s="7">
        <f>$B2 * IFERROR(VLOOKUP("transport|NOx|Premature mortality", US_national_yearly!$D:$AM, 16, FALSE) / VLOOKUP("transport|NOx|Premature mortality", US_national_yearly!$D:$AM, 10, FALSE), 1)</f>
        <v>1.7643474654649004E-3</v>
      </c>
      <c r="I2" s="7">
        <f>$B2 * IFERROR(VLOOKUP("transport|NOx|Premature mortality", US_national_yearly!$D:$AM, 17, FALSE) / VLOOKUP("transport|NOx|Premature mortality", US_national_yearly!$D:$AM, 10, FALSE), 1)</f>
        <v>1.7913815043677855E-3</v>
      </c>
      <c r="J2" s="7">
        <f>$B2 * IFERROR(VLOOKUP("transport|NOx|Premature mortality", US_national_yearly!$D:$AM, 18, FALSE) / VLOOKUP("transport|NOx|Premature mortality", US_national_yearly!$D:$AM, 10, FALSE), 1)</f>
        <v>1.8184155432706705E-3</v>
      </c>
      <c r="K2" s="7">
        <f>$B2 * IFERROR(VLOOKUP("transport|NOx|Premature mortality", US_national_yearly!$D:$AM, 19, FALSE) / VLOOKUP("transport|NOx|Premature mortality", US_national_yearly!$D:$AM, 10, FALSE), 1)</f>
        <v>1.8454495821735553E-3</v>
      </c>
      <c r="L2" s="7">
        <f>$B2 * IFERROR(VLOOKUP("transport|NOx|Premature mortality", US_national_yearly!$D:$AM, 20, FALSE) / VLOOKUP("transport|NOx|Premature mortality", US_national_yearly!$D:$AM, 10, FALSE), 1)</f>
        <v>1.8724836210764402E-3</v>
      </c>
      <c r="M2" s="7">
        <f>$B2 * IFERROR(VLOOKUP("transport|NOx|Premature mortality", US_national_yearly!$D:$AM, 21, FALSE) / VLOOKUP("transport|NOx|Premature mortality", US_national_yearly!$D:$AM, 10, FALSE), 1)</f>
        <v>1.8995176599793254E-3</v>
      </c>
      <c r="N2" s="7">
        <f>$B2 * IFERROR(VLOOKUP("transport|NOx|Premature mortality", US_national_yearly!$D:$AM, 22, FALSE) / VLOOKUP("transport|NOx|Premature mortality", US_national_yearly!$D:$AM, 10, FALSE), 1)</f>
        <v>1.919544370902575E-3</v>
      </c>
      <c r="O2" s="7">
        <f>$B2 * IFERROR(VLOOKUP("transport|NOx|Premature mortality", US_national_yearly!$D:$AM, 23, FALSE) / VLOOKUP("transport|NOx|Premature mortality", US_national_yearly!$D:$AM, 10, FALSE), 1)</f>
        <v>1.9395710818258245E-3</v>
      </c>
      <c r="P2" s="7">
        <f>$B2 * IFERROR(VLOOKUP("transport|NOx|Premature mortality", US_national_yearly!$D:$AM, 24, FALSE) / VLOOKUP("transport|NOx|Premature mortality", US_national_yearly!$D:$AM, 10, FALSE), 1)</f>
        <v>1.9595977927490743E-3</v>
      </c>
      <c r="Q2" s="7">
        <f>$B2 * IFERROR(VLOOKUP("transport|NOx|Premature mortality", US_national_yearly!$D:$AM, 25, FALSE) / VLOOKUP("transport|NOx|Premature mortality", US_national_yearly!$D:$AM, 10, FALSE), 1)</f>
        <v>1.979624503672324E-3</v>
      </c>
      <c r="R2" s="7">
        <f>$B2 * IFERROR(VLOOKUP("transport|NOx|Premature mortality", US_national_yearly!$D:$AM, 26, FALSE) / VLOOKUP("transport|NOx|Premature mortality", US_national_yearly!$D:$AM, 10, FALSE), 1)</f>
        <v>1.9996512145955738E-3</v>
      </c>
      <c r="S2" s="7">
        <f>$B2 * IFERROR(VLOOKUP("transport|NOx|Premature mortality", US_national_yearly!$D:$AM, 27, FALSE) / VLOOKUP("transport|NOx|Premature mortality", US_national_yearly!$D:$AM, 10, FALSE), 1)</f>
        <v>2.0087535563764894E-3</v>
      </c>
      <c r="T2" s="7">
        <f>$B2 * IFERROR(VLOOKUP("transport|NOx|Premature mortality", US_national_yearly!$D:$AM, 28, FALSE) / VLOOKUP("transport|NOx|Premature mortality", US_national_yearly!$D:$AM, 10, FALSE), 1)</f>
        <v>2.0178558981574059E-3</v>
      </c>
      <c r="U2" s="7">
        <f>$B2 * IFERROR(VLOOKUP("transport|NOx|Premature mortality", US_national_yearly!$D:$AM, 29, FALSE) / VLOOKUP("transport|NOx|Premature mortality", US_national_yearly!$D:$AM, 10, FALSE), 1)</f>
        <v>2.0269582399383215E-3</v>
      </c>
      <c r="V2" s="7">
        <f>$B2 * IFERROR(VLOOKUP("transport|NOx|Premature mortality", US_national_yearly!$D:$AM, 30, FALSE) / VLOOKUP("transport|NOx|Premature mortality", US_national_yearly!$D:$AM, 10, FALSE), 1)</f>
        <v>2.0360605817192376E-3</v>
      </c>
      <c r="W2" s="7">
        <f>$B2 * IFERROR(VLOOKUP("transport|NOx|Premature mortality", US_national_yearly!$D:$AM, 31, FALSE) / VLOOKUP("transport|NOx|Premature mortality", US_national_yearly!$D:$AM, 10, FALSE), 1)</f>
        <v>2.0451629235001541E-3</v>
      </c>
      <c r="X2" s="7">
        <f>$B2 * IFERROR(VLOOKUP("transport|NOx|Premature mortality", US_national_yearly!$D:$AM, 32, FALSE) / VLOOKUP("transport|NOx|Premature mortality", US_national_yearly!$D:$AM, 10, FALSE), 1)</f>
        <v>2.045478223394659E-3</v>
      </c>
      <c r="Y2" s="7">
        <f>$B2 * IFERROR(VLOOKUP("transport|NOx|Premature mortality", US_national_yearly!$D:$AM, 33, FALSE) / VLOOKUP("transport|NOx|Premature mortality", US_national_yearly!$D:$AM, 10, FALSE), 1)</f>
        <v>2.0457935232891639E-3</v>
      </c>
      <c r="Z2" s="7">
        <f>$B2 * IFERROR(VLOOKUP("transport|NOx|Premature mortality", US_national_yearly!$D:$AM, 34, FALSE) / VLOOKUP("transport|NOx|Premature mortality", US_national_yearly!$D:$AM, 10, FALSE), 1)</f>
        <v>2.0461088231836684E-3</v>
      </c>
      <c r="AA2" s="7">
        <f>$B2 * IFERROR(VLOOKUP("transport|NOx|Premature mortality", US_national_yearly!$D:$AM, 35, FALSE) / VLOOKUP("transport|NOx|Premature mortality", US_national_yearly!$D:$AM, 10, FALSE), 1)</f>
        <v>2.0464241230781738E-3</v>
      </c>
      <c r="AB2" s="7">
        <f>$B2 * IFERROR(VLOOKUP("transport|NOx|Premature mortality", US_national_yearly!$D:$AM, 36, FALSE) / VLOOKUP("transport|NOx|Premature mortality", US_national_yearly!$D:$AM, 10, FALSE), 1)</f>
        <v>2.0467394229726787E-3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6.0633626056321805E-6</v>
      </c>
      <c r="C3" s="7">
        <f>$B3 * IFERROR(VLOOKUP("transport|NOx|Infant mortality", US_national_yearly!$D:$AM, 11, FALSE) / VLOOKUP("transport|NOx|Infant mortality", US_national_yearly!$D:$AM, 10, FALSE), 1)</f>
        <v>6.0055936263803001E-6</v>
      </c>
      <c r="D3" s="7">
        <f>$B3 * IFERROR(VLOOKUP("transport|NOx|Infant mortality", US_national_yearly!$D:$AM, 12, FALSE) / VLOOKUP("transport|NOx|Infant mortality", US_national_yearly!$D:$AM, 10, FALSE), 1)</f>
        <v>5.9478246471284189E-6</v>
      </c>
      <c r="E3" s="7">
        <f>$B3 * IFERROR(VLOOKUP("transport|NOx|Infant mortality", US_national_yearly!$D:$AM, 13, FALSE) / VLOOKUP("transport|NOx|Infant mortality", US_national_yearly!$D:$AM, 10, FALSE), 1)</f>
        <v>5.8900556678765384E-6</v>
      </c>
      <c r="F3" s="7">
        <f>$B3 * IFERROR(VLOOKUP("transport|NOx|Infant mortality", US_national_yearly!$D:$AM, 14, FALSE) / VLOOKUP("transport|NOx|Infant mortality", US_national_yearly!$D:$AM, 10, FALSE), 1)</f>
        <v>5.8322866886246589E-6</v>
      </c>
      <c r="G3" s="7">
        <f>$B3 * IFERROR(VLOOKUP("transport|NOx|Infant mortality", US_national_yearly!$D:$AM, 15, FALSE) / VLOOKUP("transport|NOx|Infant mortality", US_national_yearly!$D:$AM, 10, FALSE), 1)</f>
        <v>3.8717599079567943E-6</v>
      </c>
      <c r="H3" s="7">
        <f>$B3 * IFERROR(VLOOKUP("transport|NOx|Infant mortality", US_national_yearly!$D:$AM, 16, FALSE) / VLOOKUP("transport|NOx|Infant mortality", US_national_yearly!$D:$AM, 10, FALSE), 1)</f>
        <v>1.9112331272889306E-6</v>
      </c>
      <c r="I3" s="7">
        <f>$B3 * IFERROR(VLOOKUP("transport|NOx|Infant mortality", US_national_yearly!$D:$AM, 17, FALSE) / VLOOKUP("transport|NOx|Infant mortality", US_national_yearly!$D:$AM, 10, FALSE), 1)</f>
        <v>1.8977188842261717E-6</v>
      </c>
      <c r="J3" s="7">
        <f>$B3 * IFERROR(VLOOKUP("transport|NOx|Infant mortality", US_national_yearly!$D:$AM, 18, FALSE) / VLOOKUP("transport|NOx|Infant mortality", US_national_yearly!$D:$AM, 10, FALSE), 1)</f>
        <v>1.8842046411634125E-6</v>
      </c>
      <c r="K3" s="7">
        <f>$B3 * IFERROR(VLOOKUP("transport|NOx|Infant mortality", US_national_yearly!$D:$AM, 19, FALSE) / VLOOKUP("transport|NOx|Infant mortality", US_national_yearly!$D:$AM, 10, FALSE), 1)</f>
        <v>1.8706903981006536E-6</v>
      </c>
      <c r="L3" s="7">
        <f>$B3 * IFERROR(VLOOKUP("transport|NOx|Infant mortality", US_national_yearly!$D:$AM, 20, FALSE) / VLOOKUP("transport|NOx|Infant mortality", US_national_yearly!$D:$AM, 10, FALSE), 1)</f>
        <v>1.8571761550378948E-6</v>
      </c>
      <c r="M3" s="7">
        <f>$B3 * IFERROR(VLOOKUP("transport|NOx|Infant mortality", US_national_yearly!$D:$AM, 21, FALSE) / VLOOKUP("transport|NOx|Infant mortality", US_national_yearly!$D:$AM, 10, FALSE), 1)</f>
        <v>1.8436619119751355E-6</v>
      </c>
      <c r="N3" s="7">
        <f>$B3 * IFERROR(VLOOKUP("transport|NOx|Infant mortality", US_national_yearly!$D:$AM, 22, FALSE) / VLOOKUP("transport|NOx|Infant mortality", US_national_yearly!$D:$AM, 10, FALSE), 1)</f>
        <v>1.8346917224941563E-6</v>
      </c>
      <c r="O3" s="7">
        <f>$B3 * IFERROR(VLOOKUP("transport|NOx|Infant mortality", US_national_yearly!$D:$AM, 23, FALSE) / VLOOKUP("transport|NOx|Infant mortality", US_national_yearly!$D:$AM, 10, FALSE), 1)</f>
        <v>1.8257215330131773E-6</v>
      </c>
      <c r="P3" s="7">
        <f>$B3 * IFERROR(VLOOKUP("transport|NOx|Infant mortality", US_national_yearly!$D:$AM, 24, FALSE) / VLOOKUP("transport|NOx|Infant mortality", US_national_yearly!$D:$AM, 10, FALSE), 1)</f>
        <v>1.8167513435321981E-6</v>
      </c>
      <c r="Q3" s="7">
        <f>$B3 * IFERROR(VLOOKUP("transport|NOx|Infant mortality", US_national_yearly!$D:$AM, 25, FALSE) / VLOOKUP("transport|NOx|Infant mortality", US_national_yearly!$D:$AM, 10, FALSE), 1)</f>
        <v>1.8077811540512191E-6</v>
      </c>
      <c r="R3" s="7">
        <f>$B3 * IFERROR(VLOOKUP("transport|NOx|Infant mortality", US_national_yearly!$D:$AM, 26, FALSE) / VLOOKUP("transport|NOx|Infant mortality", US_national_yearly!$D:$AM, 10, FALSE), 1)</f>
        <v>1.7988109645702399E-6</v>
      </c>
      <c r="S3" s="7">
        <f>$B3 * IFERROR(VLOOKUP("transport|NOx|Infant mortality", US_national_yearly!$D:$AM, 27, FALSE) / VLOOKUP("transport|NOx|Infant mortality", US_national_yearly!$D:$AM, 10, FALSE), 1)</f>
        <v>1.788027370340254E-6</v>
      </c>
      <c r="T3" s="7">
        <f>$B3 * IFERROR(VLOOKUP("transport|NOx|Infant mortality", US_national_yearly!$D:$AM, 28, FALSE) / VLOOKUP("transport|NOx|Infant mortality", US_national_yearly!$D:$AM, 10, FALSE), 1)</f>
        <v>1.7772437761102683E-6</v>
      </c>
      <c r="U3" s="7">
        <f>$B3 * IFERROR(VLOOKUP("transport|NOx|Infant mortality", US_national_yearly!$D:$AM, 29, FALSE) / VLOOKUP("transport|NOx|Infant mortality", US_national_yearly!$D:$AM, 10, FALSE), 1)</f>
        <v>1.7664601818802824E-6</v>
      </c>
      <c r="V3" s="7">
        <f>$B3 * IFERROR(VLOOKUP("transport|NOx|Infant mortality", US_national_yearly!$D:$AM, 30, FALSE) / VLOOKUP("transport|NOx|Infant mortality", US_national_yearly!$D:$AM, 10, FALSE), 1)</f>
        <v>1.7556765876502965E-6</v>
      </c>
      <c r="W3" s="7">
        <f>$B3 * IFERROR(VLOOKUP("transport|NOx|Infant mortality", US_national_yearly!$D:$AM, 31, FALSE) / VLOOKUP("transport|NOx|Infant mortality", US_national_yearly!$D:$AM, 10, FALSE), 1)</f>
        <v>1.7448929934203106E-6</v>
      </c>
      <c r="X3" s="7">
        <f>$B3 * IFERROR(VLOOKUP("transport|NOx|Infant mortality", US_national_yearly!$D:$AM, 32, FALSE) / VLOOKUP("transport|NOx|Infant mortality", US_national_yearly!$D:$AM, 10, FALSE), 1)</f>
        <v>1.7334726456574225E-6</v>
      </c>
      <c r="Y3" s="7">
        <f>$B3 * IFERROR(VLOOKUP("transport|NOx|Infant mortality", US_national_yearly!$D:$AM, 33, FALSE) / VLOOKUP("transport|NOx|Infant mortality", US_national_yearly!$D:$AM, 10, FALSE), 1)</f>
        <v>1.722052297894534E-6</v>
      </c>
      <c r="Z3" s="7">
        <f>$B3 * IFERROR(VLOOKUP("transport|NOx|Infant mortality", US_national_yearly!$D:$AM, 34, FALSE) / VLOOKUP("transport|NOx|Infant mortality", US_national_yearly!$D:$AM, 10, FALSE), 1)</f>
        <v>1.7106319501316455E-6</v>
      </c>
      <c r="AA3" s="7">
        <f>$B3 * IFERROR(VLOOKUP("transport|NOx|Infant mortality", US_national_yearly!$D:$AM, 35, FALSE) / VLOOKUP("transport|NOx|Infant mortality", US_national_yearly!$D:$AM, 10, FALSE), 1)</f>
        <v>1.699211602368757E-6</v>
      </c>
      <c r="AB3" s="7">
        <f>$B3 * IFERROR(VLOOKUP("transport|NOx|Infant mortality", US_national_yearly!$D:$AM, 36, FALSE) / VLOOKUP("transport|NOx|Infant mortality", US_national_yearly!$D:$AM, 10, FALSE), 1)</f>
        <v>1.6877912546058685E-6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6.0333555898277446E-3</v>
      </c>
      <c r="C6" s="7">
        <f>$B6 * IFERROR(VLOOKUP("transport|NOx|Asthma symptoms cough", US_national_yearly!$D:$AM, 11, FALSE) / VLOOKUP("transport|NOx|Asthma symptoms cough", US_national_yearly!$D:$AM, 10, FALSE), 1)</f>
        <v>6.1158414248866106E-3</v>
      </c>
      <c r="D6" s="7">
        <f>$B6 * IFERROR(VLOOKUP("transport|NOx|Asthma symptoms cough", US_national_yearly!$D:$AM, 12, FALSE) / VLOOKUP("transport|NOx|Asthma symptoms cough", US_national_yearly!$D:$AM, 10, FALSE), 1)</f>
        <v>6.1983272599454766E-3</v>
      </c>
      <c r="E6" s="7">
        <f>$B6 * IFERROR(VLOOKUP("transport|NOx|Asthma symptoms cough", US_national_yearly!$D:$AM, 13, FALSE) / VLOOKUP("transport|NOx|Asthma symptoms cough", US_national_yearly!$D:$AM, 10, FALSE), 1)</f>
        <v>6.2808130950043426E-3</v>
      </c>
      <c r="F6" s="7">
        <f>$B6 * IFERROR(VLOOKUP("transport|NOx|Asthma symptoms cough", US_national_yearly!$D:$AM, 14, FALSE) / VLOOKUP("transport|NOx|Asthma symptoms cough", US_national_yearly!$D:$AM, 10, FALSE), 1)</f>
        <v>6.3632989300632086E-3</v>
      </c>
      <c r="G6" s="7">
        <f>$B6 * IFERROR(VLOOKUP("transport|NOx|Asthma symptoms cough", US_national_yearly!$D:$AM, 15, FALSE) / VLOOKUP("transport|NOx|Asthma symptoms cough", US_national_yearly!$D:$AM, 10, FALSE), 1)</f>
        <v>6.4291523427409967E-3</v>
      </c>
      <c r="H6" s="7">
        <f>$B6 * IFERROR(VLOOKUP("transport|NOx|Asthma symptoms cough", US_national_yearly!$D:$AM, 16, FALSE) / VLOOKUP("transport|NOx|Asthma symptoms cough", US_national_yearly!$D:$AM, 10, FALSE), 1)</f>
        <v>6.4950057554187864E-3</v>
      </c>
      <c r="I6" s="7">
        <f>$B6 * IFERROR(VLOOKUP("transport|NOx|Asthma symptoms cough", US_national_yearly!$D:$AM, 17, FALSE) / VLOOKUP("transport|NOx|Asthma symptoms cough", US_national_yearly!$D:$AM, 10, FALSE), 1)</f>
        <v>6.5176715586384706E-3</v>
      </c>
      <c r="J6" s="7">
        <f>$B6 * IFERROR(VLOOKUP("transport|NOx|Asthma symptoms cough", US_national_yearly!$D:$AM, 18, FALSE) / VLOOKUP("transport|NOx|Asthma symptoms cough", US_national_yearly!$D:$AM, 10, FALSE), 1)</f>
        <v>6.5403373618581557E-3</v>
      </c>
      <c r="K6" s="7">
        <f>$B6 * IFERROR(VLOOKUP("transport|NOx|Asthma symptoms cough", US_national_yearly!$D:$AM, 19, FALSE) / VLOOKUP("transport|NOx|Asthma symptoms cough", US_national_yearly!$D:$AM, 10, FALSE), 1)</f>
        <v>6.5630031650778398E-3</v>
      </c>
      <c r="L6" s="7">
        <f>$B6 * IFERROR(VLOOKUP("transport|NOx|Asthma symptoms cough", US_national_yearly!$D:$AM, 20, FALSE) / VLOOKUP("transport|NOx|Asthma symptoms cough", US_national_yearly!$D:$AM, 10, FALSE), 1)</f>
        <v>6.585668968297524E-3</v>
      </c>
      <c r="M6" s="7">
        <f>$B6 * IFERROR(VLOOKUP("transport|NOx|Asthma symptoms cough", US_national_yearly!$D:$AM, 21, FALSE) / VLOOKUP("transport|NOx|Asthma symptoms cough", US_national_yearly!$D:$AM, 10, FALSE), 1)</f>
        <v>6.6083347715172099E-3</v>
      </c>
      <c r="N6" s="7">
        <f>$B6 * IFERROR(VLOOKUP("transport|NOx|Asthma symptoms cough", US_national_yearly!$D:$AM, 22, FALSE) / VLOOKUP("transport|NOx|Asthma symptoms cough", US_national_yearly!$D:$AM, 10, FALSE), 1)</f>
        <v>6.6346174582109134E-3</v>
      </c>
      <c r="O6" s="7">
        <f>$B6 * IFERROR(VLOOKUP("transport|NOx|Asthma symptoms cough", US_national_yearly!$D:$AM, 23, FALSE) / VLOOKUP("transport|NOx|Asthma symptoms cough", US_national_yearly!$D:$AM, 10, FALSE), 1)</f>
        <v>6.6609001449046169E-3</v>
      </c>
      <c r="P6" s="7">
        <f>$B6 * IFERROR(VLOOKUP("transport|NOx|Asthma symptoms cough", US_national_yearly!$D:$AM, 24, FALSE) / VLOOKUP("transport|NOx|Asthma symptoms cough", US_national_yearly!$D:$AM, 10, FALSE), 1)</f>
        <v>6.6871828315983204E-3</v>
      </c>
      <c r="Q6" s="7">
        <f>$B6 * IFERROR(VLOOKUP("transport|NOx|Asthma symptoms cough", US_national_yearly!$D:$AM, 25, FALSE) / VLOOKUP("transport|NOx|Asthma symptoms cough", US_national_yearly!$D:$AM, 10, FALSE), 1)</f>
        <v>6.7134655182920257E-3</v>
      </c>
      <c r="R6" s="7">
        <f>$B6 * IFERROR(VLOOKUP("transport|NOx|Asthma symptoms cough", US_national_yearly!$D:$AM, 26, FALSE) / VLOOKUP("transport|NOx|Asthma symptoms cough", US_national_yearly!$D:$AM, 10, FALSE), 1)</f>
        <v>6.7397482049857292E-3</v>
      </c>
      <c r="S6" s="7">
        <f>$B6 * IFERROR(VLOOKUP("transport|NOx|Asthma symptoms cough", US_national_yearly!$D:$AM, 27, FALSE) / VLOOKUP("transport|NOx|Asthma symptoms cough", US_national_yearly!$D:$AM, 10, FALSE), 1)</f>
        <v>6.7740817647813896E-3</v>
      </c>
      <c r="T6" s="7">
        <f>$B6 * IFERROR(VLOOKUP("transport|NOx|Asthma symptoms cough", US_national_yearly!$D:$AM, 28, FALSE) / VLOOKUP("transport|NOx|Asthma symptoms cough", US_national_yearly!$D:$AM, 10, FALSE), 1)</f>
        <v>6.8084153245770492E-3</v>
      </c>
      <c r="U6" s="7">
        <f>$B6 * IFERROR(VLOOKUP("transport|NOx|Asthma symptoms cough", US_national_yearly!$D:$AM, 29, FALSE) / VLOOKUP("transport|NOx|Asthma symptoms cough", US_national_yearly!$D:$AM, 10, FALSE), 1)</f>
        <v>6.8427488843727071E-3</v>
      </c>
      <c r="V6" s="7">
        <f>$B6 * IFERROR(VLOOKUP("transport|NOx|Asthma symptoms cough", US_national_yearly!$D:$AM, 30, FALSE) / VLOOKUP("transport|NOx|Asthma symptoms cough", US_national_yearly!$D:$AM, 10, FALSE), 1)</f>
        <v>6.8770824441683675E-3</v>
      </c>
      <c r="W6" s="7">
        <f>$B6 * IFERROR(VLOOKUP("transport|NOx|Asthma symptoms cough", US_national_yearly!$D:$AM, 31, FALSE) / VLOOKUP("transport|NOx|Asthma symptoms cough", US_national_yearly!$D:$AM, 10, FALSE), 1)</f>
        <v>6.9114160039640271E-3</v>
      </c>
      <c r="X6" s="7">
        <f>$B6 * IFERROR(VLOOKUP("transport|NOx|Asthma symptoms cough", US_national_yearly!$D:$AM, 32, FALSE) / VLOOKUP("transport|NOx|Asthma symptoms cough", US_national_yearly!$D:$AM, 10, FALSE), 1)</f>
        <v>6.9433168142505382E-3</v>
      </c>
      <c r="Y6" s="7">
        <f>$B6 * IFERROR(VLOOKUP("transport|NOx|Asthma symptoms cough", US_national_yearly!$D:$AM, 33, FALSE) / VLOOKUP("transport|NOx|Asthma symptoms cough", US_national_yearly!$D:$AM, 10, FALSE), 1)</f>
        <v>6.9752176245370494E-3</v>
      </c>
      <c r="Z6" s="7">
        <f>$B6 * IFERROR(VLOOKUP("transport|NOx|Asthma symptoms cough", US_national_yearly!$D:$AM, 34, FALSE) / VLOOKUP("transport|NOx|Asthma symptoms cough", US_national_yearly!$D:$AM, 10, FALSE), 1)</f>
        <v>7.0071184348235605E-3</v>
      </c>
      <c r="AA6" s="7">
        <f>$B6 * IFERROR(VLOOKUP("transport|NOx|Asthma symptoms cough", US_national_yearly!$D:$AM, 35, FALSE) / VLOOKUP("transport|NOx|Asthma symptoms cough", US_national_yearly!$D:$AM, 10, FALSE), 1)</f>
        <v>7.0390192451100717E-3</v>
      </c>
      <c r="AB6" s="7">
        <f>$B6 * IFERROR(VLOOKUP("transport|NOx|Asthma symptoms cough", US_national_yearly!$D:$AM, 36, FALSE) / VLOOKUP("transport|NOx|Asthma symptoms cough", US_national_yearly!$D:$AM, 10, FALSE), 1)</f>
        <v>7.0709200553965845E-3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8.1243212645992595E-3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8.235394018938913E-3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8.3464667732785647E-3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8.4575395276182182E-3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8.5686122819578735E-3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8.6572883548522456E-3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8.7459644277466178E-3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8.7764854641938159E-3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8.8070065006410139E-3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8.837527537088212E-3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8.86804857353541E-3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8.8985696099826081E-3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8.9339610246811901E-3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8.9693524393797703E-3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9.0047438540783488E-3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9.0401352687769308E-3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9.075526683475511E-3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9.1217591432834755E-3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9.16799160309144E-3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9.2142240628994045E-3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9.2604565227073655E-3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9.30668898251533E-3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9.349645580584931E-3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9.3926021786545338E-3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9.4355587767241383E-3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9.4785153747937393E-3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9.5214719728633421E-3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1.2414252333236073E-2</v>
      </c>
      <c r="C8" s="7">
        <f>$B8 * IFERROR(VLOOKUP("transport|NOx|Asthma symptoms wheeze", US_national_yearly!$D:$AM, 11, FALSE) / VLOOKUP("transport|NOx|Asthma symptoms wheeze", US_national_yearly!$D:$AM, 10, FALSE), 1)</f>
        <v>1.2583975459364585E-2</v>
      </c>
      <c r="D8" s="7">
        <f>$B8 * IFERROR(VLOOKUP("transport|NOx|Asthma symptoms wheeze", US_national_yearly!$D:$AM, 12, FALSE) / VLOOKUP("transport|NOx|Asthma symptoms wheeze", US_national_yearly!$D:$AM, 10, FALSE), 1)</f>
        <v>1.2753698585493103E-2</v>
      </c>
      <c r="E8" s="7">
        <f>$B8 * IFERROR(VLOOKUP("transport|NOx|Asthma symptoms wheeze", US_national_yearly!$D:$AM, 13, FALSE) / VLOOKUP("transport|NOx|Asthma symptoms wheeze", US_national_yearly!$D:$AM, 10, FALSE), 1)</f>
        <v>1.2923421711621613E-2</v>
      </c>
      <c r="F8" s="7">
        <f>$B8 * IFERROR(VLOOKUP("transport|NOx|Asthma symptoms wheeze", US_national_yearly!$D:$AM, 14, FALSE) / VLOOKUP("transport|NOx|Asthma symptoms wheeze", US_national_yearly!$D:$AM, 10, FALSE), 1)</f>
        <v>1.3093144837750125E-2</v>
      </c>
      <c r="G8" s="7">
        <f>$B8 * IFERROR(VLOOKUP("transport|NOx|Asthma symptoms wheeze", US_national_yearly!$D:$AM, 15, FALSE) / VLOOKUP("transport|NOx|Asthma symptoms wheeze", US_national_yearly!$D:$AM, 10, FALSE), 1)</f>
        <v>1.3228645036860135E-2</v>
      </c>
      <c r="H8" s="7">
        <f>$B8 * IFERROR(VLOOKUP("transport|NOx|Asthma symptoms wheeze", US_national_yearly!$D:$AM, 16, FALSE) / VLOOKUP("transport|NOx|Asthma symptoms wheeze", US_national_yearly!$D:$AM, 10, FALSE), 1)</f>
        <v>1.3364145235970147E-2</v>
      </c>
      <c r="I8" s="7">
        <f>$B8 * IFERROR(VLOOKUP("transport|NOx|Asthma symptoms wheeze", US_national_yearly!$D:$AM, 17, FALSE) / VLOOKUP("transport|NOx|Asthma symptoms wheeze", US_national_yearly!$D:$AM, 10, FALSE), 1)</f>
        <v>1.3410782467598909E-2</v>
      </c>
      <c r="J8" s="7">
        <f>$B8 * IFERROR(VLOOKUP("transport|NOx|Asthma symptoms wheeze", US_national_yearly!$D:$AM, 18, FALSE) / VLOOKUP("transport|NOx|Asthma symptoms wheeze", US_national_yearly!$D:$AM, 10, FALSE), 1)</f>
        <v>1.3457419699227672E-2</v>
      </c>
      <c r="K8" s="7">
        <f>$B8 * IFERROR(VLOOKUP("transport|NOx|Asthma symptoms wheeze", US_national_yearly!$D:$AM, 19, FALSE) / VLOOKUP("transport|NOx|Asthma symptoms wheeze", US_national_yearly!$D:$AM, 10, FALSE), 1)</f>
        <v>1.3504056930856431E-2</v>
      </c>
      <c r="L8" s="7">
        <f>$B8 * IFERROR(VLOOKUP("transport|NOx|Asthma symptoms wheeze", US_national_yearly!$D:$AM, 20, FALSE) / VLOOKUP("transport|NOx|Asthma symptoms wheeze", US_national_yearly!$D:$AM, 10, FALSE), 1)</f>
        <v>1.3550694162485196E-2</v>
      </c>
      <c r="M8" s="7">
        <f>$B8 * IFERROR(VLOOKUP("transport|NOx|Asthma symptoms wheeze", US_national_yearly!$D:$AM, 21, FALSE) / VLOOKUP("transport|NOx|Asthma symptoms wheeze", US_national_yearly!$D:$AM, 10, FALSE), 1)</f>
        <v>1.3597331394113956E-2</v>
      </c>
      <c r="N8" s="7">
        <f>$B8 * IFERROR(VLOOKUP("transport|NOx|Asthma symptoms wheeze", US_national_yearly!$D:$AM, 22, FALSE) / VLOOKUP("transport|NOx|Asthma symptoms wheeze", US_national_yearly!$D:$AM, 10, FALSE), 1)</f>
        <v>1.3651410737156384E-2</v>
      </c>
      <c r="O8" s="7">
        <f>$B8 * IFERROR(VLOOKUP("transport|NOx|Asthma symptoms wheeze", US_national_yearly!$D:$AM, 23, FALSE) / VLOOKUP("transport|NOx|Asthma symptoms wheeze", US_national_yearly!$D:$AM, 10, FALSE), 1)</f>
        <v>1.3705490080198815E-2</v>
      </c>
      <c r="P8" s="7">
        <f>$B8 * IFERROR(VLOOKUP("transport|NOx|Asthma symptoms wheeze", US_national_yearly!$D:$AM, 24, FALSE) / VLOOKUP("transport|NOx|Asthma symptoms wheeze", US_national_yearly!$D:$AM, 10, FALSE), 1)</f>
        <v>1.3759569423241243E-2</v>
      </c>
      <c r="Q8" s="7">
        <f>$B8 * IFERROR(VLOOKUP("transport|NOx|Asthma symptoms wheeze", US_national_yearly!$D:$AM, 25, FALSE) / VLOOKUP("transport|NOx|Asthma symptoms wheeze", US_national_yearly!$D:$AM, 10, FALSE), 1)</f>
        <v>1.3813648766283673E-2</v>
      </c>
      <c r="R8" s="7">
        <f>$B8 * IFERROR(VLOOKUP("transport|NOx|Asthma symptoms wheeze", US_national_yearly!$D:$AM, 26, FALSE) / VLOOKUP("transport|NOx|Asthma symptoms wheeze", US_national_yearly!$D:$AM, 10, FALSE), 1)</f>
        <v>1.3867728109326101E-2</v>
      </c>
      <c r="S8" s="7">
        <f>$B8 * IFERROR(VLOOKUP("transport|NOx|Asthma symptoms wheeze", US_national_yearly!$D:$AM, 27, FALSE) / VLOOKUP("transport|NOx|Asthma symptoms wheeze", US_national_yearly!$D:$AM, 10, FALSE), 1)</f>
        <v>1.3938372955440793E-2</v>
      </c>
      <c r="T8" s="7">
        <f>$B8 * IFERROR(VLOOKUP("transport|NOx|Asthma symptoms wheeze", US_national_yearly!$D:$AM, 28, FALSE) / VLOOKUP("transport|NOx|Asthma symptoms wheeze", US_national_yearly!$D:$AM, 10, FALSE), 1)</f>
        <v>1.4009017801555486E-2</v>
      </c>
      <c r="U8" s="7">
        <f>$B8 * IFERROR(VLOOKUP("transport|NOx|Asthma symptoms wheeze", US_national_yearly!$D:$AM, 29, FALSE) / VLOOKUP("transport|NOx|Asthma symptoms wheeze", US_national_yearly!$D:$AM, 10, FALSE), 1)</f>
        <v>1.4079662647670178E-2</v>
      </c>
      <c r="V8" s="7">
        <f>$B8 * IFERROR(VLOOKUP("transport|NOx|Asthma symptoms wheeze", US_national_yearly!$D:$AM, 30, FALSE) / VLOOKUP("transport|NOx|Asthma symptoms wheeze", US_national_yearly!$D:$AM, 10, FALSE), 1)</f>
        <v>1.4150307493784873E-2</v>
      </c>
      <c r="W8" s="7">
        <f>$B8 * IFERROR(VLOOKUP("transport|NOx|Asthma symptoms wheeze", US_national_yearly!$D:$AM, 31, FALSE) / VLOOKUP("transport|NOx|Asthma symptoms wheeze", US_national_yearly!$D:$AM, 10, FALSE), 1)</f>
        <v>1.4220952339899562E-2</v>
      </c>
      <c r="X8" s="7">
        <f>$B8 * IFERROR(VLOOKUP("transport|NOx|Asthma symptoms wheeze", US_national_yearly!$D:$AM, 32, FALSE) / VLOOKUP("transport|NOx|Asthma symptoms wheeze", US_national_yearly!$D:$AM, 10, FALSE), 1)</f>
        <v>1.4286591552561215E-2</v>
      </c>
      <c r="Y8" s="7">
        <f>$B8 * IFERROR(VLOOKUP("transport|NOx|Asthma symptoms wheeze", US_national_yearly!$D:$AM, 33, FALSE) / VLOOKUP("transport|NOx|Asthma symptoms wheeze", US_national_yearly!$D:$AM, 10, FALSE), 1)</f>
        <v>1.4352230765222867E-2</v>
      </c>
      <c r="Z8" s="7">
        <f>$B8 * IFERROR(VLOOKUP("transport|NOx|Asthma symptoms wheeze", US_national_yearly!$D:$AM, 34, FALSE) / VLOOKUP("transport|NOx|Asthma symptoms wheeze", US_national_yearly!$D:$AM, 10, FALSE), 1)</f>
        <v>1.441786997788452E-2</v>
      </c>
      <c r="AA8" s="7">
        <f>$B8 * IFERROR(VLOOKUP("transport|NOx|Asthma symptoms wheeze", US_national_yearly!$D:$AM, 35, FALSE) / VLOOKUP("transport|NOx|Asthma symptoms wheeze", US_national_yearly!$D:$AM, 10, FALSE), 1)</f>
        <v>1.4483509190546171E-2</v>
      </c>
      <c r="AB8" s="7">
        <f>$B8 * IFERROR(VLOOKUP("transport|NOx|Asthma symptoms wheeze", US_national_yearly!$D:$AM, 36, FALSE) / VLOOKUP("transport|NOx|Asthma symptoms wheeze", US_national_yearly!$D:$AM, 10, FALSE), 1)</f>
        <v>1.4549148403207824E-2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1.185341276970296E-4</v>
      </c>
      <c r="C12" s="7">
        <f>$B12 * IFERROR(VLOOKUP("transport|NOx|Respiratory hospital admissions", US_national_yearly!$D:$AM, 11, FALSE) / VLOOKUP("transport|NOx|Respiratory hospital admissions", US_national_yearly!$D:$AM, 10, FALSE), 1)</f>
        <v>1.2149092176824628E-4</v>
      </c>
      <c r="D12" s="7">
        <f>$B12 * IFERROR(VLOOKUP("transport|NOx|Respiratory hospital admissions", US_national_yearly!$D:$AM, 12, FALSE) / VLOOKUP("transport|NOx|Respiratory hospital admissions", US_national_yearly!$D:$AM, 10, FALSE), 1)</f>
        <v>1.2444771583946298E-4</v>
      </c>
      <c r="E12" s="7">
        <f>$B12 * IFERROR(VLOOKUP("transport|NOx|Respiratory hospital admissions", US_national_yearly!$D:$AM, 13, FALSE) / VLOOKUP("transport|NOx|Respiratory hospital admissions", US_national_yearly!$D:$AM, 10, FALSE), 1)</f>
        <v>1.2740450991067967E-4</v>
      </c>
      <c r="F12" s="7">
        <f>$B12 * IFERROR(VLOOKUP("transport|NOx|Respiratory hospital admissions", US_national_yearly!$D:$AM, 14, FALSE) / VLOOKUP("transport|NOx|Respiratory hospital admissions", US_national_yearly!$D:$AM, 10, FALSE), 1)</f>
        <v>1.3036130398189636E-4</v>
      </c>
      <c r="G12" s="7">
        <f>$B12 * IFERROR(VLOOKUP("transport|NOx|Respiratory hospital admissions", US_national_yearly!$D:$AM, 15, FALSE) / VLOOKUP("transport|NOx|Respiratory hospital admissions", US_national_yearly!$D:$AM, 10, FALSE), 1)</f>
        <v>1.3318809975127033E-4</v>
      </c>
      <c r="H12" s="7">
        <f>$B12 * IFERROR(VLOOKUP("transport|NOx|Respiratory hospital admissions", US_national_yearly!$D:$AM, 16, FALSE) / VLOOKUP("transport|NOx|Respiratory hospital admissions", US_national_yearly!$D:$AM, 10, FALSE), 1)</f>
        <v>1.3601489552064427E-4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1.3841490324188269E-4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1.4081491096312108E-4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1.4321491868435948E-4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1.456149264055979E-4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1.4801493412683632E-4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1.4961938249956564E-4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1.5122383087229504E-4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1.5282827924502438E-4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1.5443272761775378E-4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1.5603717599048313E-4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1.5689679595307654E-4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1.5775641591566993E-4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1.5861603587826335E-4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1.5947565584085673E-4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1.6033527580345015E-4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1.6092271436907879E-4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1.6151015293470745E-4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1.6209759150033609E-4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1.6268503006596475E-4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1.6327246863159339E-4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7.3213431170367606E-4</v>
      </c>
      <c r="C13" s="7">
        <f>$B13 * IFERROR(VLOOKUP("transport|NOx|Non-fatal heart attacks", US_national_yearly!$D:$AM, 11, FALSE) / VLOOKUP("transport|NOx|Non-fatal heart attacks", US_national_yearly!$D:$AM, 10, FALSE), 1)</f>
        <v>7.5306538662379973E-4</v>
      </c>
      <c r="D13" s="7">
        <f>$B13 * IFERROR(VLOOKUP("transport|NOx|Non-fatal heart attacks", US_national_yearly!$D:$AM, 12, FALSE) / VLOOKUP("transport|NOx|Non-fatal heart attacks", US_national_yearly!$D:$AM, 10, FALSE), 1)</f>
        <v>7.7399646154392352E-4</v>
      </c>
      <c r="E13" s="7">
        <f>$B13 * IFERROR(VLOOKUP("transport|NOx|Non-fatal heart attacks", US_national_yearly!$D:$AM, 13, FALSE) / VLOOKUP("transport|NOx|Non-fatal heart attacks", US_national_yearly!$D:$AM, 10, FALSE), 1)</f>
        <v>7.9492753646404697E-4</v>
      </c>
      <c r="F13" s="7">
        <f>$B13 * IFERROR(VLOOKUP("transport|NOx|Non-fatal heart attacks", US_national_yearly!$D:$AM, 14, FALSE) / VLOOKUP("transport|NOx|Non-fatal heart attacks", US_national_yearly!$D:$AM, 10, FALSE), 1)</f>
        <v>8.1585861138417076E-4</v>
      </c>
      <c r="G13" s="7">
        <f>$B13 * IFERROR(VLOOKUP("transport|NOx|Non-fatal heart attacks", US_national_yearly!$D:$AM, 15, FALSE) / VLOOKUP("transport|NOx|Non-fatal heart attacks", US_national_yearly!$D:$AM, 10, FALSE), 1)</f>
        <v>8.3541865739498718E-4</v>
      </c>
      <c r="H13" s="7">
        <f>$B13 * IFERROR(VLOOKUP("transport|NOx|Non-fatal heart attacks", US_national_yearly!$D:$AM, 16, FALSE) / VLOOKUP("transport|NOx|Non-fatal heart attacks", US_national_yearly!$D:$AM, 10, FALSE), 1)</f>
        <v>8.5497870340580349E-4</v>
      </c>
      <c r="I13" s="7">
        <f>$B13 * IFERROR(VLOOKUP("transport|NOx|Non-fatal heart attacks", US_national_yearly!$D:$AM, 17, FALSE) / VLOOKUP("transport|NOx|Non-fatal heart attacks", US_national_yearly!$D:$AM, 10, FALSE), 1)</f>
        <v>8.7039956375858387E-4</v>
      </c>
      <c r="J13" s="7">
        <f>$B13 * IFERROR(VLOOKUP("transport|NOx|Non-fatal heart attacks", US_national_yearly!$D:$AM, 18, FALSE) / VLOOKUP("transport|NOx|Non-fatal heart attacks", US_national_yearly!$D:$AM, 10, FALSE), 1)</f>
        <v>8.8582042411136446E-4</v>
      </c>
      <c r="K13" s="7">
        <f>$B13 * IFERROR(VLOOKUP("transport|NOx|Non-fatal heart attacks", US_national_yearly!$D:$AM, 19, FALSE) / VLOOKUP("transport|NOx|Non-fatal heart attacks", US_national_yearly!$D:$AM, 10, FALSE), 1)</f>
        <v>9.0124128446414441E-4</v>
      </c>
      <c r="L13" s="7">
        <f>$B13 * IFERROR(VLOOKUP("transport|NOx|Non-fatal heart attacks", US_national_yearly!$D:$AM, 20, FALSE) / VLOOKUP("transport|NOx|Non-fatal heart attacks", US_national_yearly!$D:$AM, 10, FALSE), 1)</f>
        <v>9.1666214481692543E-4</v>
      </c>
      <c r="M13" s="7">
        <f>$B13 * IFERROR(VLOOKUP("transport|NOx|Non-fatal heart attacks", US_national_yearly!$D:$AM, 21, FALSE) / VLOOKUP("transport|NOx|Non-fatal heart attacks", US_national_yearly!$D:$AM, 10, FALSE), 1)</f>
        <v>9.320830051697057E-4</v>
      </c>
      <c r="N13" s="7">
        <f>$B13 * IFERROR(VLOOKUP("transport|NOx|Non-fatal heart attacks", US_national_yearly!$D:$AM, 22, FALSE) / VLOOKUP("transport|NOx|Non-fatal heart attacks", US_national_yearly!$D:$AM, 10, FALSE), 1)</f>
        <v>9.4136066241985868E-4</v>
      </c>
      <c r="O13" s="7">
        <f>$B13 * IFERROR(VLOOKUP("transport|NOx|Non-fatal heart attacks", US_national_yearly!$D:$AM, 23, FALSE) / VLOOKUP("transport|NOx|Non-fatal heart attacks", US_national_yearly!$D:$AM, 10, FALSE), 1)</f>
        <v>9.5063831967001167E-4</v>
      </c>
      <c r="P13" s="7">
        <f>$B13 * IFERROR(VLOOKUP("transport|NOx|Non-fatal heart attacks", US_national_yearly!$D:$AM, 24, FALSE) / VLOOKUP("transport|NOx|Non-fatal heart attacks", US_national_yearly!$D:$AM, 10, FALSE), 1)</f>
        <v>9.5991597692016443E-4</v>
      </c>
      <c r="Q13" s="7">
        <f>$B13 * IFERROR(VLOOKUP("transport|NOx|Non-fatal heart attacks", US_national_yearly!$D:$AM, 25, FALSE) / VLOOKUP("transport|NOx|Non-fatal heart attacks", US_national_yearly!$D:$AM, 10, FALSE), 1)</f>
        <v>9.6919363417031753E-4</v>
      </c>
      <c r="R13" s="7">
        <f>$B13 * IFERROR(VLOOKUP("transport|NOx|Non-fatal heart attacks", US_national_yearly!$D:$AM, 26, FALSE) / VLOOKUP("transport|NOx|Non-fatal heart attacks", US_national_yearly!$D:$AM, 10, FALSE), 1)</f>
        <v>9.7847129142047051E-4</v>
      </c>
      <c r="S13" s="7">
        <f>$B13 * IFERROR(VLOOKUP("transport|NOx|Non-fatal heart attacks", US_national_yearly!$D:$AM, 27, FALSE) / VLOOKUP("transport|NOx|Non-fatal heart attacks", US_national_yearly!$D:$AM, 10, FALSE), 1)</f>
        <v>9.8267970091686879E-4</v>
      </c>
      <c r="T13" s="7">
        <f>$B13 * IFERROR(VLOOKUP("transport|NOx|Non-fatal heart attacks", US_national_yearly!$D:$AM, 28, FALSE) / VLOOKUP("transport|NOx|Non-fatal heart attacks", US_national_yearly!$D:$AM, 10, FALSE), 1)</f>
        <v>9.8688811041326729E-4</v>
      </c>
      <c r="U13" s="7">
        <f>$B13 * IFERROR(VLOOKUP("transport|NOx|Non-fatal heart attacks", US_national_yearly!$D:$AM, 29, FALSE) / VLOOKUP("transport|NOx|Non-fatal heart attacks", US_national_yearly!$D:$AM, 10, FALSE), 1)</f>
        <v>9.9109651990966557E-4</v>
      </c>
      <c r="V13" s="7">
        <f>$B13 * IFERROR(VLOOKUP("transport|NOx|Non-fatal heart attacks", US_national_yearly!$D:$AM, 30, FALSE) / VLOOKUP("transport|NOx|Non-fatal heart attacks", US_national_yearly!$D:$AM, 10, FALSE), 1)</f>
        <v>9.9530492940606385E-4</v>
      </c>
      <c r="W13" s="7">
        <f>$B13 * IFERROR(VLOOKUP("transport|NOx|Non-fatal heart attacks", US_national_yearly!$D:$AM, 31, FALSE) / VLOOKUP("transport|NOx|Non-fatal heart attacks", US_national_yearly!$D:$AM, 10, FALSE), 1)</f>
        <v>9.9951333890246213E-4</v>
      </c>
      <c r="X13" s="7">
        <f>$B13 * IFERROR(VLOOKUP("transport|NOx|Non-fatal heart attacks", US_national_yearly!$D:$AM, 32, FALSE) / VLOOKUP("transport|NOx|Non-fatal heart attacks", US_national_yearly!$D:$AM, 10, FALSE), 1)</f>
        <v>1.0023256195669324E-3</v>
      </c>
      <c r="Y13" s="7">
        <f>$B13 * IFERROR(VLOOKUP("transport|NOx|Non-fatal heart attacks", US_national_yearly!$D:$AM, 33, FALSE) / VLOOKUP("transport|NOx|Non-fatal heart attacks", US_national_yearly!$D:$AM, 10, FALSE), 1)</f>
        <v>1.0051379002314026E-3</v>
      </c>
      <c r="Z13" s="7">
        <f>$B13 * IFERROR(VLOOKUP("transport|NOx|Non-fatal heart attacks", US_national_yearly!$D:$AM, 34, FALSE) / VLOOKUP("transport|NOx|Non-fatal heart attacks", US_national_yearly!$D:$AM, 10, FALSE), 1)</f>
        <v>1.0079501808958726E-3</v>
      </c>
      <c r="AA13" s="7">
        <f>$B13 * IFERROR(VLOOKUP("transport|NOx|Non-fatal heart attacks", US_national_yearly!$D:$AM, 35, FALSE) / VLOOKUP("transport|NOx|Non-fatal heart attacks", US_national_yearly!$D:$AM, 10, FALSE), 1)</f>
        <v>1.0107624615603428E-3</v>
      </c>
      <c r="AB13" s="7">
        <f>$B13 * IFERROR(VLOOKUP("transport|NOx|Non-fatal heart attacks", US_national_yearly!$D:$AM, 36, FALSE) / VLOOKUP("transport|NOx|Non-fatal heart attacks", US_national_yearly!$D:$AM, 10, FALSE), 1)</f>
        <v>1.013574742224813E-3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0.68232553866365864</v>
      </c>
      <c r="C14" s="7">
        <f>$B14 * IFERROR(VLOOKUP("transport|NOx|Minor restricted activity days", US_national_yearly!$D:$AM, 11, FALSE) / VLOOKUP("transport|NOx|Minor restricted activity days", US_national_yearly!$D:$AM, 10, FALSE), 1)</f>
        <v>0.68337165822136192</v>
      </c>
      <c r="D14" s="7">
        <f>$B14 * IFERROR(VLOOKUP("transport|NOx|Minor restricted activity days", US_national_yearly!$D:$AM, 12, FALSE) / VLOOKUP("transport|NOx|Minor restricted activity days", US_national_yearly!$D:$AM, 10, FALSE), 1)</f>
        <v>0.68441777777906532</v>
      </c>
      <c r="E14" s="7">
        <f>$B14 * IFERROR(VLOOKUP("transport|NOx|Minor restricted activity days", US_national_yearly!$D:$AM, 13, FALSE) / VLOOKUP("transport|NOx|Minor restricted activity days", US_national_yearly!$D:$AM, 10, FALSE), 1)</f>
        <v>0.68546389733676871</v>
      </c>
      <c r="F14" s="7">
        <f>$B14 * IFERROR(VLOOKUP("transport|NOx|Minor restricted activity days", US_national_yearly!$D:$AM, 14, FALSE) / VLOOKUP("transport|NOx|Minor restricted activity days", US_national_yearly!$D:$AM, 10, FALSE), 1)</f>
        <v>0.686510016894472</v>
      </c>
      <c r="G14" s="7">
        <f>$B14 * IFERROR(VLOOKUP("transport|NOx|Minor restricted activity days", US_national_yearly!$D:$AM, 15, FALSE) / VLOOKUP("transport|NOx|Minor restricted activity days", US_national_yearly!$D:$AM, 10, FALSE), 1)</f>
        <v>0.68839905981783345</v>
      </c>
      <c r="H14" s="7">
        <f>$B14 * IFERROR(VLOOKUP("transport|NOx|Minor restricted activity days", US_national_yearly!$D:$AM, 16, FALSE) / VLOOKUP("transport|NOx|Minor restricted activity days", US_national_yearly!$D:$AM, 10, FALSE), 1)</f>
        <v>0.69028810274119479</v>
      </c>
      <c r="I14" s="7">
        <f>$B14 * IFERROR(VLOOKUP("transport|NOx|Minor restricted activity days", US_national_yearly!$D:$AM, 17, FALSE) / VLOOKUP("transport|NOx|Minor restricted activity days", US_national_yearly!$D:$AM, 10, FALSE), 1)</f>
        <v>0.69398299599880287</v>
      </c>
      <c r="J14" s="7">
        <f>$B14 * IFERROR(VLOOKUP("transport|NOx|Minor restricted activity days", US_national_yearly!$D:$AM, 18, FALSE) / VLOOKUP("transport|NOx|Minor restricted activity days", US_national_yearly!$D:$AM, 10, FALSE), 1)</f>
        <v>0.69767788925641072</v>
      </c>
      <c r="K14" s="7">
        <f>$B14 * IFERROR(VLOOKUP("transport|NOx|Minor restricted activity days", US_national_yearly!$D:$AM, 19, FALSE) / VLOOKUP("transport|NOx|Minor restricted activity days", US_national_yearly!$D:$AM, 10, FALSE), 1)</f>
        <v>0.7013727825140188</v>
      </c>
      <c r="L14" s="7">
        <f>$B14 * IFERROR(VLOOKUP("transport|NOx|Minor restricted activity days", US_national_yearly!$D:$AM, 20, FALSE) / VLOOKUP("transport|NOx|Minor restricted activity days", US_national_yearly!$D:$AM, 10, FALSE), 1)</f>
        <v>0.70506767577162677</v>
      </c>
      <c r="M14" s="7">
        <f>$B14 * IFERROR(VLOOKUP("transport|NOx|Minor restricted activity days", US_national_yearly!$D:$AM, 21, FALSE) / VLOOKUP("transport|NOx|Minor restricted activity days", US_national_yearly!$D:$AM, 10, FALSE), 1)</f>
        <v>0.70876256902923485</v>
      </c>
      <c r="N14" s="7">
        <f>$B14 * IFERROR(VLOOKUP("transport|NOx|Minor restricted activity days", US_national_yearly!$D:$AM, 22, FALSE) / VLOOKUP("transport|NOx|Minor restricted activity days", US_national_yearly!$D:$AM, 10, FALSE), 1)</f>
        <v>0.71405281837522971</v>
      </c>
      <c r="O14" s="7">
        <f>$B14 * IFERROR(VLOOKUP("transport|NOx|Minor restricted activity days", US_national_yearly!$D:$AM, 23, FALSE) / VLOOKUP("transport|NOx|Minor restricted activity days", US_national_yearly!$D:$AM, 10, FALSE), 1)</f>
        <v>0.71934306772122447</v>
      </c>
      <c r="P14" s="7">
        <f>$B14 * IFERROR(VLOOKUP("transport|NOx|Minor restricted activity days", US_national_yearly!$D:$AM, 24, FALSE) / VLOOKUP("transport|NOx|Minor restricted activity days", US_national_yearly!$D:$AM, 10, FALSE), 1)</f>
        <v>0.72463331706721934</v>
      </c>
      <c r="Q14" s="7">
        <f>$B14 * IFERROR(VLOOKUP("transport|NOx|Minor restricted activity days", US_national_yearly!$D:$AM, 25, FALSE) / VLOOKUP("transport|NOx|Minor restricted activity days", US_national_yearly!$D:$AM, 10, FALSE), 1)</f>
        <v>0.7299235664132141</v>
      </c>
      <c r="R14" s="7">
        <f>$B14 * IFERROR(VLOOKUP("transport|NOx|Minor restricted activity days", US_national_yearly!$D:$AM, 26, FALSE) / VLOOKUP("transport|NOx|Minor restricted activity days", US_national_yearly!$D:$AM, 10, FALSE), 1)</f>
        <v>0.73521381575920897</v>
      </c>
      <c r="S14" s="7">
        <f>$B14 * IFERROR(VLOOKUP("transport|NOx|Minor restricted activity days", US_national_yearly!$D:$AM, 27, FALSE) / VLOOKUP("transport|NOx|Minor restricted activity days", US_national_yearly!$D:$AM, 10, FALSE), 1)</f>
        <v>0.74050295284160172</v>
      </c>
      <c r="T14" s="7">
        <f>$B14 * IFERROR(VLOOKUP("transport|NOx|Minor restricted activity days", US_national_yearly!$D:$AM, 28, FALSE) / VLOOKUP("transport|NOx|Minor restricted activity days", US_national_yearly!$D:$AM, 10, FALSE), 1)</f>
        <v>0.74579208992399437</v>
      </c>
      <c r="U14" s="7">
        <f>$B14 * IFERROR(VLOOKUP("transport|NOx|Minor restricted activity days", US_national_yearly!$D:$AM, 29, FALSE) / VLOOKUP("transport|NOx|Minor restricted activity days", US_national_yearly!$D:$AM, 10, FALSE), 1)</f>
        <v>0.75108122700638713</v>
      </c>
      <c r="V14" s="7">
        <f>$B14 * IFERROR(VLOOKUP("transport|NOx|Minor restricted activity days", US_national_yearly!$D:$AM, 30, FALSE) / VLOOKUP("transport|NOx|Minor restricted activity days", US_national_yearly!$D:$AM, 10, FALSE), 1)</f>
        <v>0.75637036408877989</v>
      </c>
      <c r="W14" s="7">
        <f>$B14 * IFERROR(VLOOKUP("transport|NOx|Minor restricted activity days", US_national_yearly!$D:$AM, 31, FALSE) / VLOOKUP("transport|NOx|Minor restricted activity days", US_national_yearly!$D:$AM, 10, FALSE), 1)</f>
        <v>0.76165950117117254</v>
      </c>
      <c r="X14" s="7">
        <f>$B14 * IFERROR(VLOOKUP("transport|NOx|Minor restricted activity days", US_national_yearly!$D:$AM, 32, FALSE) / VLOOKUP("transport|NOx|Minor restricted activity days", US_national_yearly!$D:$AM, 10, FALSE), 1)</f>
        <v>0.76613126508026907</v>
      </c>
      <c r="Y14" s="7">
        <f>$B14 * IFERROR(VLOOKUP("transport|NOx|Minor restricted activity days", US_national_yearly!$D:$AM, 33, FALSE) / VLOOKUP("transport|NOx|Minor restricted activity days", US_national_yearly!$D:$AM, 10, FALSE), 1)</f>
        <v>0.77060302898936572</v>
      </c>
      <c r="Z14" s="7">
        <f>$B14 * IFERROR(VLOOKUP("transport|NOx|Minor restricted activity days", US_national_yearly!$D:$AM, 34, FALSE) / VLOOKUP("transport|NOx|Minor restricted activity days", US_national_yearly!$D:$AM, 10, FALSE), 1)</f>
        <v>0.77507479289846237</v>
      </c>
      <c r="AA14" s="7">
        <f>$B14 * IFERROR(VLOOKUP("transport|NOx|Minor restricted activity days", US_national_yearly!$D:$AM, 35, FALSE) / VLOOKUP("transport|NOx|Minor restricted activity days", US_national_yearly!$D:$AM, 10, FALSE), 1)</f>
        <v>0.77954655680755891</v>
      </c>
      <c r="AB14" s="7">
        <f>$B14 * IFERROR(VLOOKUP("transport|NOx|Minor restricted activity days", US_national_yearly!$D:$AM, 36, FALSE) / VLOOKUP("transport|NOx|Minor restricted activity days", US_national_yearly!$D:$AM, 10, FALSE), 1)</f>
        <v>0.78401832071665556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0.11636876234951185</v>
      </c>
      <c r="C15" s="7">
        <f>$B15 * IFERROR(VLOOKUP("transport|NOx|Work loss days", US_national_yearly!$D:$AM, 11, FALSE) / VLOOKUP("transport|NOx|Work loss days", US_national_yearly!$D:$AM, 10, FALSE), 1)</f>
        <v>0.11662761840111438</v>
      </c>
      <c r="D15" s="7">
        <f>$B15 * IFERROR(VLOOKUP("transport|NOx|Work loss days", US_national_yearly!$D:$AM, 12, FALSE) / VLOOKUP("transport|NOx|Work loss days", US_national_yearly!$D:$AM, 10, FALSE), 1)</f>
        <v>0.11688647445271692</v>
      </c>
      <c r="E15" s="7">
        <f>$B15 * IFERROR(VLOOKUP("transport|NOx|Work loss days", US_national_yearly!$D:$AM, 13, FALSE) / VLOOKUP("transport|NOx|Work loss days", US_national_yearly!$D:$AM, 10, FALSE), 1)</f>
        <v>0.11714533050431944</v>
      </c>
      <c r="F15" s="7">
        <f>$B15 * IFERROR(VLOOKUP("transport|NOx|Work loss days", US_national_yearly!$D:$AM, 14, FALSE) / VLOOKUP("transport|NOx|Work loss days", US_national_yearly!$D:$AM, 10, FALSE), 1)</f>
        <v>0.117404186555922</v>
      </c>
      <c r="G15" s="7">
        <f>$B15 * IFERROR(VLOOKUP("transport|NOx|Work loss days", US_national_yearly!$D:$AM, 15, FALSE) / VLOOKUP("transport|NOx|Work loss days", US_national_yearly!$D:$AM, 10, FALSE), 1)</f>
        <v>0.11778211859941874</v>
      </c>
      <c r="H15" s="7">
        <f>$B15 * IFERROR(VLOOKUP("transport|NOx|Work loss days", US_national_yearly!$D:$AM, 16, FALSE) / VLOOKUP("transport|NOx|Work loss days", US_national_yearly!$D:$AM, 10, FALSE), 1)</f>
        <v>0.11816005064291552</v>
      </c>
      <c r="I15" s="7">
        <f>$B15 * IFERROR(VLOOKUP("transport|NOx|Work loss days", US_national_yearly!$D:$AM, 17, FALSE) / VLOOKUP("transport|NOx|Work loss days", US_national_yearly!$D:$AM, 10, FALSE), 1)</f>
        <v>0.11877228007089333</v>
      </c>
      <c r="J15" s="7">
        <f>$B15 * IFERROR(VLOOKUP("transport|NOx|Work loss days", US_national_yearly!$D:$AM, 18, FALSE) / VLOOKUP("transport|NOx|Work loss days", US_national_yearly!$D:$AM, 10, FALSE), 1)</f>
        <v>0.11938450949887117</v>
      </c>
      <c r="K15" s="7">
        <f>$B15 * IFERROR(VLOOKUP("transport|NOx|Work loss days", US_national_yearly!$D:$AM, 19, FALSE) / VLOOKUP("transport|NOx|Work loss days", US_national_yearly!$D:$AM, 10, FALSE), 1)</f>
        <v>0.11999673892684898</v>
      </c>
      <c r="L15" s="7">
        <f>$B15 * IFERROR(VLOOKUP("transport|NOx|Work loss days", US_national_yearly!$D:$AM, 20, FALSE) / VLOOKUP("transport|NOx|Work loss days", US_national_yearly!$D:$AM, 10, FALSE), 1)</f>
        <v>0.12060896835482679</v>
      </c>
      <c r="M15" s="7">
        <f>$B15 * IFERROR(VLOOKUP("transport|NOx|Work loss days", US_national_yearly!$D:$AM, 21, FALSE) / VLOOKUP("transport|NOx|Work loss days", US_national_yearly!$D:$AM, 10, FALSE), 1)</f>
        <v>0.12122119778280463</v>
      </c>
      <c r="N15" s="7">
        <f>$B15 * IFERROR(VLOOKUP("transport|NOx|Work loss days", US_national_yearly!$D:$AM, 22, FALSE) / VLOOKUP("transport|NOx|Work loss days", US_national_yearly!$D:$AM, 10, FALSE), 1)</f>
        <v>0.12201797681524665</v>
      </c>
      <c r="O15" s="7">
        <f>$B15 * IFERROR(VLOOKUP("transport|NOx|Work loss days", US_national_yearly!$D:$AM, 23, FALSE) / VLOOKUP("transport|NOx|Work loss days", US_national_yearly!$D:$AM, 10, FALSE), 1)</f>
        <v>0.12281475584768868</v>
      </c>
      <c r="P15" s="7">
        <f>$B15 * IFERROR(VLOOKUP("transport|NOx|Work loss days", US_national_yearly!$D:$AM, 24, FALSE) / VLOOKUP("transport|NOx|Work loss days", US_national_yearly!$D:$AM, 10, FALSE), 1)</f>
        <v>0.12361153488013071</v>
      </c>
      <c r="Q15" s="7">
        <f>$B15 * IFERROR(VLOOKUP("transport|NOx|Work loss days", US_national_yearly!$D:$AM, 25, FALSE) / VLOOKUP("transport|NOx|Work loss days", US_national_yearly!$D:$AM, 10, FALSE), 1)</f>
        <v>0.12440831391257272</v>
      </c>
      <c r="R15" s="7">
        <f>$B15 * IFERROR(VLOOKUP("transport|NOx|Work loss days", US_national_yearly!$D:$AM, 26, FALSE) / VLOOKUP("transport|NOx|Work loss days", US_national_yearly!$D:$AM, 10, FALSE), 1)</f>
        <v>0.12520509294501478</v>
      </c>
      <c r="S15" s="7">
        <f>$B15 * IFERROR(VLOOKUP("transport|NOx|Work loss days", US_national_yearly!$D:$AM, 27, FALSE) / VLOOKUP("transport|NOx|Work loss days", US_national_yearly!$D:$AM, 10, FALSE), 1)</f>
        <v>0.12609339968842326</v>
      </c>
      <c r="T15" s="7">
        <f>$B15 * IFERROR(VLOOKUP("transport|NOx|Work loss days", US_national_yearly!$D:$AM, 28, FALSE) / VLOOKUP("transport|NOx|Work loss days", US_national_yearly!$D:$AM, 10, FALSE), 1)</f>
        <v>0.12698170643183174</v>
      </c>
      <c r="U15" s="7">
        <f>$B15 * IFERROR(VLOOKUP("transport|NOx|Work loss days", US_national_yearly!$D:$AM, 29, FALSE) / VLOOKUP("transport|NOx|Work loss days", US_national_yearly!$D:$AM, 10, FALSE), 1)</f>
        <v>0.12787001317524019</v>
      </c>
      <c r="V15" s="7">
        <f>$B15 * IFERROR(VLOOKUP("transport|NOx|Work loss days", US_national_yearly!$D:$AM, 30, FALSE) / VLOOKUP("transport|NOx|Work loss days", US_national_yearly!$D:$AM, 10, FALSE), 1)</f>
        <v>0.12875831991864867</v>
      </c>
      <c r="W15" s="7">
        <f>$B15 * IFERROR(VLOOKUP("transport|NOx|Work loss days", US_national_yearly!$D:$AM, 31, FALSE) / VLOOKUP("transport|NOx|Work loss days", US_national_yearly!$D:$AM, 10, FALSE), 1)</f>
        <v>0.12964662666205717</v>
      </c>
      <c r="X15" s="7">
        <f>$B15 * IFERROR(VLOOKUP("transport|NOx|Work loss days", US_national_yearly!$D:$AM, 32, FALSE) / VLOOKUP("transport|NOx|Work loss days", US_national_yearly!$D:$AM, 10, FALSE), 1)</f>
        <v>0.13041762955371553</v>
      </c>
      <c r="Y15" s="7">
        <f>$B15 * IFERROR(VLOOKUP("transport|NOx|Work loss days", US_national_yearly!$D:$AM, 33, FALSE) / VLOOKUP("transport|NOx|Work loss days", US_national_yearly!$D:$AM, 10, FALSE), 1)</f>
        <v>0.1311886324453739</v>
      </c>
      <c r="Z15" s="7">
        <f>$B15 * IFERROR(VLOOKUP("transport|NOx|Work loss days", US_national_yearly!$D:$AM, 34, FALSE) / VLOOKUP("transport|NOx|Work loss days", US_national_yearly!$D:$AM, 10, FALSE), 1)</f>
        <v>0.13195963533703228</v>
      </c>
      <c r="AA15" s="7">
        <f>$B15 * IFERROR(VLOOKUP("transport|NOx|Work loss days", US_national_yearly!$D:$AM, 35, FALSE) / VLOOKUP("transport|NOx|Work loss days", US_national_yearly!$D:$AM, 10, FALSE), 1)</f>
        <v>0.13273063822869063</v>
      </c>
      <c r="AB15" s="7">
        <f>$B15 * IFERROR(VLOOKUP("transport|NOx|Work loss days", US_national_yearly!$D:$AM, 36, FALSE) / VLOOKUP("transport|NOx|Work loss days", US_national_yearly!$D:$AM, 10, FALSE), 1)</f>
        <v>0.13350164112034901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1.8079097231111984E-4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1.8610344845015173E-4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1.914159245891836E-4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1.9672840072821547E-4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2.0204087686724739E-4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2.070868506507191E-4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2.1213282443419086E-4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2.1637609911118511E-4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2.2061937378817933E-4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2.2486264846517358E-4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2.2910592314216781E-4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2.3334919781916208E-4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2.3600265807468418E-4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2.3865611833020632E-4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2.4130957858572842E-4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2.4396303884125056E-4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2.4661649909677266E-4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2.4782720014607327E-4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2.4903790119537388E-4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2.5024860224467449E-4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2.5145930329397511E-4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2.5267000434327572E-4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2.5334380145175056E-4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2.5401759856022541E-4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2.5469139566870026E-4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2.553651927771751E-4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2.5603898988565E-4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6.0933295844970391E-3</v>
      </c>
      <c r="C2" s="7">
        <f>$B2 * IFERROR(VLOOKUP("transport|SO2|Premature mortality", US_national_yearly!$D:$AM, 11, FALSE) / VLOOKUP("transport|SO2|Premature mortality", US_national_yearly!$D:$AM, 10, FALSE), 1)</f>
        <v>6.1704983068007905E-3</v>
      </c>
      <c r="D2" s="7">
        <f>$B2 * IFERROR(VLOOKUP("transport|SO2|Premature mortality", US_national_yearly!$D:$AM, 12, FALSE) / VLOOKUP("transport|SO2|Premature mortality", US_national_yearly!$D:$AM, 10, FALSE), 1)</f>
        <v>6.2476670291045427E-3</v>
      </c>
      <c r="E2" s="7">
        <f>$B2 * IFERROR(VLOOKUP("transport|SO2|Premature mortality", US_national_yearly!$D:$AM, 13, FALSE) / VLOOKUP("transport|SO2|Premature mortality", US_national_yearly!$D:$AM, 10, FALSE), 1)</f>
        <v>6.3248357514082941E-3</v>
      </c>
      <c r="F2" s="7">
        <f>$B2 * IFERROR(VLOOKUP("transport|SO2|Premature mortality", US_national_yearly!$D:$AM, 14, FALSE) / VLOOKUP("transport|SO2|Premature mortality", US_national_yearly!$D:$AM, 10, FALSE), 1)</f>
        <v>6.4020044737120446E-3</v>
      </c>
      <c r="G2" s="7">
        <f>$B2 * IFERROR(VLOOKUP("transport|SO2|Premature mortality", US_national_yearly!$D:$AM, 15, FALSE) / VLOOKUP("transport|SO2|Premature mortality", US_national_yearly!$D:$AM, 10, FALSE), 1)</f>
        <v>6.5507042281426463E-3</v>
      </c>
      <c r="H2" s="7">
        <f>$B2 * IFERROR(VLOOKUP("transport|SO2|Premature mortality", US_national_yearly!$D:$AM, 16, FALSE) / VLOOKUP("transport|SO2|Premature mortality", US_national_yearly!$D:$AM, 10, FALSE), 1)</f>
        <v>6.6994039825732463E-3</v>
      </c>
      <c r="I2" s="7">
        <f>$B2 * IFERROR(VLOOKUP("transport|SO2|Premature mortality", US_national_yearly!$D:$AM, 17, FALSE) / VLOOKUP("transport|SO2|Premature mortality", US_national_yearly!$D:$AM, 10, FALSE), 1)</f>
        <v>6.7976738917326293E-3</v>
      </c>
      <c r="J2" s="7">
        <f>$B2 * IFERROR(VLOOKUP("transport|SO2|Premature mortality", US_national_yearly!$D:$AM, 18, FALSE) / VLOOKUP("transport|SO2|Premature mortality", US_national_yearly!$D:$AM, 10, FALSE), 1)</f>
        <v>6.8959438008920123E-3</v>
      </c>
      <c r="K2" s="7">
        <f>$B2 * IFERROR(VLOOKUP("transport|SO2|Premature mortality", US_national_yearly!$D:$AM, 19, FALSE) / VLOOKUP("transport|SO2|Premature mortality", US_national_yearly!$D:$AM, 10, FALSE), 1)</f>
        <v>6.9942137100513944E-3</v>
      </c>
      <c r="L2" s="7">
        <f>$B2 * IFERROR(VLOOKUP("transport|SO2|Premature mortality", US_national_yearly!$D:$AM, 20, FALSE) / VLOOKUP("transport|SO2|Premature mortality", US_national_yearly!$D:$AM, 10, FALSE), 1)</f>
        <v>7.0924836192107774E-3</v>
      </c>
      <c r="M2" s="7">
        <f>$B2 * IFERROR(VLOOKUP("transport|SO2|Premature mortality", US_national_yearly!$D:$AM, 21, FALSE) / VLOOKUP("transport|SO2|Premature mortality", US_national_yearly!$D:$AM, 10, FALSE), 1)</f>
        <v>7.1907535283701604E-3</v>
      </c>
      <c r="N2" s="7">
        <f>$B2 * IFERROR(VLOOKUP("transport|SO2|Premature mortality", US_national_yearly!$D:$AM, 22, FALSE) / VLOOKUP("transport|SO2|Premature mortality", US_national_yearly!$D:$AM, 10, FALSE), 1)</f>
        <v>7.2675363049594741E-3</v>
      </c>
      <c r="O2" s="7">
        <f>$B2 * IFERROR(VLOOKUP("transport|SO2|Premature mortality", US_national_yearly!$D:$AM, 23, FALSE) / VLOOKUP("transport|SO2|Premature mortality", US_national_yearly!$D:$AM, 10, FALSE), 1)</f>
        <v>7.3443190815487879E-3</v>
      </c>
      <c r="P2" s="7">
        <f>$B2 * IFERROR(VLOOKUP("transport|SO2|Premature mortality", US_national_yearly!$D:$AM, 24, FALSE) / VLOOKUP("transport|SO2|Premature mortality", US_national_yearly!$D:$AM, 10, FALSE), 1)</f>
        <v>7.4211018581381016E-3</v>
      </c>
      <c r="Q2" s="7">
        <f>$B2 * IFERROR(VLOOKUP("transport|SO2|Premature mortality", US_national_yearly!$D:$AM, 25, FALSE) / VLOOKUP("transport|SO2|Premature mortality", US_national_yearly!$D:$AM, 10, FALSE), 1)</f>
        <v>7.4978846347274163E-3</v>
      </c>
      <c r="R2" s="7">
        <f>$B2 * IFERROR(VLOOKUP("transport|SO2|Premature mortality", US_national_yearly!$D:$AM, 26, FALSE) / VLOOKUP("transport|SO2|Premature mortality", US_national_yearly!$D:$AM, 10, FALSE), 1)</f>
        <v>7.5746674113167283E-3</v>
      </c>
      <c r="S2" s="7">
        <f>$B2 * IFERROR(VLOOKUP("transport|SO2|Premature mortality", US_national_yearly!$D:$AM, 27, FALSE) / VLOOKUP("transport|SO2|Premature mortality", US_national_yearly!$D:$AM, 10, FALSE), 1)</f>
        <v>7.6157856105582757E-3</v>
      </c>
      <c r="T2" s="7">
        <f>$B2 * IFERROR(VLOOKUP("transport|SO2|Premature mortality", US_national_yearly!$D:$AM, 28, FALSE) / VLOOKUP("transport|SO2|Premature mortality", US_national_yearly!$D:$AM, 10, FALSE), 1)</f>
        <v>7.6569038097998214E-3</v>
      </c>
      <c r="U2" s="7">
        <f>$B2 * IFERROR(VLOOKUP("transport|SO2|Premature mortality", US_national_yearly!$D:$AM, 29, FALSE) / VLOOKUP("transport|SO2|Premature mortality", US_national_yearly!$D:$AM, 10, FALSE), 1)</f>
        <v>7.6980220090413672E-3</v>
      </c>
      <c r="V2" s="7">
        <f>$B2 * IFERROR(VLOOKUP("transport|SO2|Premature mortality", US_national_yearly!$D:$AM, 30, FALSE) / VLOOKUP("transport|SO2|Premature mortality", US_national_yearly!$D:$AM, 10, FALSE), 1)</f>
        <v>7.7391402082829129E-3</v>
      </c>
      <c r="W2" s="7">
        <f>$B2 * IFERROR(VLOOKUP("transport|SO2|Premature mortality", US_national_yearly!$D:$AM, 31, FALSE) / VLOOKUP("transport|SO2|Premature mortality", US_national_yearly!$D:$AM, 10, FALSE), 1)</f>
        <v>7.7802584075244595E-3</v>
      </c>
      <c r="X2" s="7">
        <f>$B2 * IFERROR(VLOOKUP("transport|SO2|Premature mortality", US_national_yearly!$D:$AM, 32, FALSE) / VLOOKUP("transport|SO2|Premature mortality", US_national_yearly!$D:$AM, 10, FALSE), 1)</f>
        <v>7.7886116954714929E-3</v>
      </c>
      <c r="Y2" s="7">
        <f>$B2 * IFERROR(VLOOKUP("transport|SO2|Premature mortality", US_national_yearly!$D:$AM, 33, FALSE) / VLOOKUP("transport|SO2|Premature mortality", US_national_yearly!$D:$AM, 10, FALSE), 1)</f>
        <v>7.7969649834185271E-3</v>
      </c>
      <c r="Z2" s="7">
        <f>$B2 * IFERROR(VLOOKUP("transport|SO2|Premature mortality", US_national_yearly!$D:$AM, 34, FALSE) / VLOOKUP("transport|SO2|Premature mortality", US_national_yearly!$D:$AM, 10, FALSE), 1)</f>
        <v>7.8053182713655606E-3</v>
      </c>
      <c r="AA2" s="7">
        <f>$B2 * IFERROR(VLOOKUP("transport|SO2|Premature mortality", US_national_yearly!$D:$AM, 35, FALSE) / VLOOKUP("transport|SO2|Premature mortality", US_national_yearly!$D:$AM, 10, FALSE), 1)</f>
        <v>7.8136715593125957E-3</v>
      </c>
      <c r="AB2" s="7">
        <f>$B2 * IFERROR(VLOOKUP("transport|SO2|Premature mortality", US_national_yearly!$D:$AM, 36, FALSE) / VLOOKUP("transport|SO2|Premature mortality", US_national_yearly!$D:$AM, 10, FALSE), 1)</f>
        <v>7.8220248472596274E-3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2.4697367840858973E-5</v>
      </c>
      <c r="C3" s="7">
        <f>$B3 * IFERROR(VLOOKUP("transport|SO2|Infant mortality", US_national_yearly!$D:$AM, 11, FALSE) / VLOOKUP("transport|SO2|Infant mortality", US_national_yearly!$D:$AM, 10, FALSE), 1)</f>
        <v>2.4485212946168511E-5</v>
      </c>
      <c r="D3" s="7">
        <f>$B3 * IFERROR(VLOOKUP("transport|SO2|Infant mortality", US_national_yearly!$D:$AM, 12, FALSE) / VLOOKUP("transport|SO2|Infant mortality", US_national_yearly!$D:$AM, 10, FALSE), 1)</f>
        <v>2.4273058051478053E-5</v>
      </c>
      <c r="E3" s="7">
        <f>$B3 * IFERROR(VLOOKUP("transport|SO2|Infant mortality", US_national_yearly!$D:$AM, 13, FALSE) / VLOOKUP("transport|SO2|Infant mortality", US_national_yearly!$D:$AM, 10, FALSE), 1)</f>
        <v>2.4060903156787591E-5</v>
      </c>
      <c r="F3" s="7">
        <f>$B3 * IFERROR(VLOOKUP("transport|SO2|Infant mortality", US_national_yearly!$D:$AM, 14, FALSE) / VLOOKUP("transport|SO2|Infant mortality", US_national_yearly!$D:$AM, 10, FALSE), 1)</f>
        <v>2.3848748262097133E-5</v>
      </c>
      <c r="G3" s="7">
        <f>$B3 * IFERROR(VLOOKUP("transport|SO2|Infant mortality", US_national_yearly!$D:$AM, 15, FALSE) / VLOOKUP("transport|SO2|Infant mortality", US_national_yearly!$D:$AM, 10, FALSE), 1)</f>
        <v>1.588518715843922E-5</v>
      </c>
      <c r="H3" s="7">
        <f>$B3 * IFERROR(VLOOKUP("transport|SO2|Infant mortality", US_national_yearly!$D:$AM, 16, FALSE) / VLOOKUP("transport|SO2|Infant mortality", US_national_yearly!$D:$AM, 10, FALSE), 1)</f>
        <v>7.9216260547813188E-6</v>
      </c>
      <c r="I3" s="7">
        <f>$B3 * IFERROR(VLOOKUP("transport|SO2|Infant mortality", US_national_yearly!$D:$AM, 17, FALSE) / VLOOKUP("transport|SO2|Infant mortality", US_national_yearly!$D:$AM, 10, FALSE), 1)</f>
        <v>7.8719313024139893E-6</v>
      </c>
      <c r="J3" s="7">
        <f>$B3 * IFERROR(VLOOKUP("transport|SO2|Infant mortality", US_national_yearly!$D:$AM, 18, FALSE) / VLOOKUP("transport|SO2|Infant mortality", US_national_yearly!$D:$AM, 10, FALSE), 1)</f>
        <v>7.8222365500466597E-6</v>
      </c>
      <c r="K3" s="7">
        <f>$B3 * IFERROR(VLOOKUP("transport|SO2|Infant mortality", US_national_yearly!$D:$AM, 19, FALSE) / VLOOKUP("transport|SO2|Infant mortality", US_national_yearly!$D:$AM, 10, FALSE), 1)</f>
        <v>7.7725417976793302E-6</v>
      </c>
      <c r="L3" s="7">
        <f>$B3 * IFERROR(VLOOKUP("transport|SO2|Infant mortality", US_national_yearly!$D:$AM, 20, FALSE) / VLOOKUP("transport|SO2|Infant mortality", US_national_yearly!$D:$AM, 10, FALSE), 1)</f>
        <v>7.7228470453120006E-6</v>
      </c>
      <c r="M3" s="7">
        <f>$B3 * IFERROR(VLOOKUP("transport|SO2|Infant mortality", US_national_yearly!$D:$AM, 21, FALSE) / VLOOKUP("transport|SO2|Infant mortality", US_national_yearly!$D:$AM, 10, FALSE), 1)</f>
        <v>7.6731522929446711E-6</v>
      </c>
      <c r="N3" s="7">
        <f>$B3 * IFERROR(VLOOKUP("transport|SO2|Infant mortality", US_national_yearly!$D:$AM, 22, FALSE) / VLOOKUP("transport|SO2|Infant mortality", US_national_yearly!$D:$AM, 10, FALSE), 1)</f>
        <v>7.6419592689315227E-6</v>
      </c>
      <c r="O3" s="7">
        <f>$B3 * IFERROR(VLOOKUP("transport|SO2|Infant mortality", US_national_yearly!$D:$AM, 23, FALSE) / VLOOKUP("transport|SO2|Infant mortality", US_national_yearly!$D:$AM, 10, FALSE), 1)</f>
        <v>7.610766244918376E-6</v>
      </c>
      <c r="P3" s="7">
        <f>$B3 * IFERROR(VLOOKUP("transport|SO2|Infant mortality", US_national_yearly!$D:$AM, 24, FALSE) / VLOOKUP("transport|SO2|Infant mortality", US_national_yearly!$D:$AM, 10, FALSE), 1)</f>
        <v>7.5795732209052267E-6</v>
      </c>
      <c r="Q3" s="7">
        <f>$B3 * IFERROR(VLOOKUP("transport|SO2|Infant mortality", US_national_yearly!$D:$AM, 25, FALSE) / VLOOKUP("transport|SO2|Infant mortality", US_national_yearly!$D:$AM, 10, FALSE), 1)</f>
        <v>7.5483801968920792E-6</v>
      </c>
      <c r="R3" s="7">
        <f>$B3 * IFERROR(VLOOKUP("transport|SO2|Infant mortality", US_national_yearly!$D:$AM, 26, FALSE) / VLOOKUP("transport|SO2|Infant mortality", US_national_yearly!$D:$AM, 10, FALSE), 1)</f>
        <v>7.5171871728789308E-6</v>
      </c>
      <c r="S3" s="7">
        <f>$B3 * IFERROR(VLOOKUP("transport|SO2|Infant mortality", US_national_yearly!$D:$AM, 27, FALSE) / VLOOKUP("transport|SO2|Infant mortality", US_national_yearly!$D:$AM, 10, FALSE), 1)</f>
        <v>7.4780224309107227E-6</v>
      </c>
      <c r="T3" s="7">
        <f>$B3 * IFERROR(VLOOKUP("transport|SO2|Infant mortality", US_national_yearly!$D:$AM, 28, FALSE) / VLOOKUP("transport|SO2|Infant mortality", US_national_yearly!$D:$AM, 10, FALSE), 1)</f>
        <v>7.4388576889425146E-6</v>
      </c>
      <c r="U3" s="7">
        <f>$B3 * IFERROR(VLOOKUP("transport|SO2|Infant mortality", US_national_yearly!$D:$AM, 29, FALSE) / VLOOKUP("transport|SO2|Infant mortality", US_national_yearly!$D:$AM, 10, FALSE), 1)</f>
        <v>7.3996929469743048E-6</v>
      </c>
      <c r="V3" s="7">
        <f>$B3 * IFERROR(VLOOKUP("transport|SO2|Infant mortality", US_national_yearly!$D:$AM, 30, FALSE) / VLOOKUP("transport|SO2|Infant mortality", US_national_yearly!$D:$AM, 10, FALSE), 1)</f>
        <v>7.3605282050060984E-6</v>
      </c>
      <c r="W3" s="7">
        <f>$B3 * IFERROR(VLOOKUP("transport|SO2|Infant mortality", US_national_yearly!$D:$AM, 31, FALSE) / VLOOKUP("transport|SO2|Infant mortality", US_national_yearly!$D:$AM, 10, FALSE), 1)</f>
        <v>7.3213634630378887E-6</v>
      </c>
      <c r="X3" s="7">
        <f>$B3 * IFERROR(VLOOKUP("transport|SO2|Infant mortality", US_national_yearly!$D:$AM, 32, FALSE) / VLOOKUP("transport|SO2|Infant mortality", US_national_yearly!$D:$AM, 10, FALSE), 1)</f>
        <v>7.2785443110045936E-6</v>
      </c>
      <c r="Y3" s="7">
        <f>$B3 * IFERROR(VLOOKUP("transport|SO2|Infant mortality", US_national_yearly!$D:$AM, 33, FALSE) / VLOOKUP("transport|SO2|Infant mortality", US_national_yearly!$D:$AM, 10, FALSE), 1)</f>
        <v>7.2357251589712944E-6</v>
      </c>
      <c r="Z3" s="7">
        <f>$B3 * IFERROR(VLOOKUP("transport|SO2|Infant mortality", US_national_yearly!$D:$AM, 34, FALSE) / VLOOKUP("transport|SO2|Infant mortality", US_national_yearly!$D:$AM, 10, FALSE), 1)</f>
        <v>7.1929060069379994E-6</v>
      </c>
      <c r="AA3" s="7">
        <f>$B3 * IFERROR(VLOOKUP("transport|SO2|Infant mortality", US_national_yearly!$D:$AM, 35, FALSE) / VLOOKUP("transport|SO2|Infant mortality", US_national_yearly!$D:$AM, 10, FALSE), 1)</f>
        <v>7.1500868549047001E-6</v>
      </c>
      <c r="AB3" s="7">
        <f>$B3 * IFERROR(VLOOKUP("transport|SO2|Infant mortality", US_national_yearly!$D:$AM, 36, FALSE) / VLOOKUP("transport|SO2|Infant mortality", US_national_yearly!$D:$AM, 10, FALSE), 1)</f>
        <v>7.1072677028714051E-6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2.3968481278334793E-2</v>
      </c>
      <c r="C6" s="7">
        <f>$B6 * IFERROR(VLOOKUP("transport|SO2|Asthma symptoms cough", US_national_yearly!$D:$AM, 11, FALSE) / VLOOKUP("transport|SO2|Asthma symptoms cough", US_national_yearly!$D:$AM, 10, FALSE), 1)</f>
        <v>2.3968481278334793E-2</v>
      </c>
      <c r="D6" s="7">
        <f>$B6 * IFERROR(VLOOKUP("transport|SO2|Asthma symptoms cough", US_national_yearly!$D:$AM, 12, FALSE) / VLOOKUP("transport|SO2|Asthma symptoms cough", US_national_yearly!$D:$AM, 10, FALSE), 1)</f>
        <v>2.3968481278334793E-2</v>
      </c>
      <c r="E6" s="7">
        <f>$B6 * IFERROR(VLOOKUP("transport|SO2|Asthma symptoms cough", US_national_yearly!$D:$AM, 13, FALSE) / VLOOKUP("transport|SO2|Asthma symptoms cough", US_national_yearly!$D:$AM, 10, FALSE), 1)</f>
        <v>2.3968481278334793E-2</v>
      </c>
      <c r="F6" s="7">
        <f>$B6 * IFERROR(VLOOKUP("transport|SO2|Asthma symptoms cough", US_national_yearly!$D:$AM, 14, FALSE) / VLOOKUP("transport|SO2|Asthma symptoms cough", US_national_yearly!$D:$AM, 10, FALSE), 1)</f>
        <v>2.3968481278334793E-2</v>
      </c>
      <c r="G6" s="7">
        <f>$B6 * IFERROR(VLOOKUP("transport|SO2|Asthma symptoms cough", US_national_yearly!$D:$AM, 15, FALSE) / VLOOKUP("transport|SO2|Asthma symptoms cough", US_national_yearly!$D:$AM, 10, FALSE), 1)</f>
        <v>2.3968481278334793E-2</v>
      </c>
      <c r="H6" s="7">
        <f>$B6 * IFERROR(VLOOKUP("transport|SO2|Asthma symptoms cough", US_national_yearly!$D:$AM, 16, FALSE) / VLOOKUP("transport|SO2|Asthma symptoms cough", US_national_yearly!$D:$AM, 10, FALSE), 1)</f>
        <v>2.3968481278334793E-2</v>
      </c>
      <c r="I6" s="7">
        <f>$B6 * IFERROR(VLOOKUP("transport|SO2|Asthma symptoms cough", US_national_yearly!$D:$AM, 17, FALSE) / VLOOKUP("transport|SO2|Asthma symptoms cough", US_national_yearly!$D:$AM, 10, FALSE), 1)</f>
        <v>2.3968481278334793E-2</v>
      </c>
      <c r="J6" s="7">
        <f>$B6 * IFERROR(VLOOKUP("transport|SO2|Asthma symptoms cough", US_national_yearly!$D:$AM, 18, FALSE) / VLOOKUP("transport|SO2|Asthma symptoms cough", US_national_yearly!$D:$AM, 10, FALSE), 1)</f>
        <v>2.3968481278334793E-2</v>
      </c>
      <c r="K6" s="7">
        <f>$B6 * IFERROR(VLOOKUP("transport|SO2|Asthma symptoms cough", US_national_yearly!$D:$AM, 19, FALSE) / VLOOKUP("transport|SO2|Asthma symptoms cough", US_national_yearly!$D:$AM, 10, FALSE), 1)</f>
        <v>2.3968481278334793E-2</v>
      </c>
      <c r="L6" s="7">
        <f>$B6 * IFERROR(VLOOKUP("transport|SO2|Asthma symptoms cough", US_national_yearly!$D:$AM, 20, FALSE) / VLOOKUP("transport|SO2|Asthma symptoms cough", US_national_yearly!$D:$AM, 10, FALSE), 1)</f>
        <v>2.3968481278334793E-2</v>
      </c>
      <c r="M6" s="7">
        <f>$B6 * IFERROR(VLOOKUP("transport|SO2|Asthma symptoms cough", US_national_yearly!$D:$AM, 21, FALSE) / VLOOKUP("transport|SO2|Asthma symptoms cough", US_national_yearly!$D:$AM, 10, FALSE), 1)</f>
        <v>2.3968481278334793E-2</v>
      </c>
      <c r="N6" s="7">
        <f>$B6 * IFERROR(VLOOKUP("transport|SO2|Asthma symptoms cough", US_national_yearly!$D:$AM, 22, FALSE) / VLOOKUP("transport|SO2|Asthma symptoms cough", US_national_yearly!$D:$AM, 10, FALSE), 1)</f>
        <v>2.3968481278334793E-2</v>
      </c>
      <c r="O6" s="7">
        <f>$B6 * IFERROR(VLOOKUP("transport|SO2|Asthma symptoms cough", US_national_yearly!$D:$AM, 23, FALSE) / VLOOKUP("transport|SO2|Asthma symptoms cough", US_national_yearly!$D:$AM, 10, FALSE), 1)</f>
        <v>2.3968481278334793E-2</v>
      </c>
      <c r="P6" s="7">
        <f>$B6 * IFERROR(VLOOKUP("transport|SO2|Asthma symptoms cough", US_national_yearly!$D:$AM, 24, FALSE) / VLOOKUP("transport|SO2|Asthma symptoms cough", US_national_yearly!$D:$AM, 10, FALSE), 1)</f>
        <v>2.3968481278334793E-2</v>
      </c>
      <c r="Q6" s="7">
        <f>$B6 * IFERROR(VLOOKUP("transport|SO2|Asthma symptoms cough", US_national_yearly!$D:$AM, 25, FALSE) / VLOOKUP("transport|SO2|Asthma symptoms cough", US_national_yearly!$D:$AM, 10, FALSE), 1)</f>
        <v>2.3968481278334793E-2</v>
      </c>
      <c r="R6" s="7">
        <f>$B6 * IFERROR(VLOOKUP("transport|SO2|Asthma symptoms cough", US_national_yearly!$D:$AM, 26, FALSE) / VLOOKUP("transport|SO2|Asthma symptoms cough", US_national_yearly!$D:$AM, 10, FALSE), 1)</f>
        <v>2.3968481278334793E-2</v>
      </c>
      <c r="S6" s="7">
        <f>$B6 * IFERROR(VLOOKUP("transport|SO2|Asthma symptoms cough", US_national_yearly!$D:$AM, 27, FALSE) / VLOOKUP("transport|SO2|Asthma symptoms cough", US_national_yearly!$D:$AM, 10, FALSE), 1)</f>
        <v>2.3968481278334793E-2</v>
      </c>
      <c r="T6" s="7">
        <f>$B6 * IFERROR(VLOOKUP("transport|SO2|Asthma symptoms cough", US_national_yearly!$D:$AM, 28, FALSE) / VLOOKUP("transport|SO2|Asthma symptoms cough", US_national_yearly!$D:$AM, 10, FALSE), 1)</f>
        <v>2.3968481278334793E-2</v>
      </c>
      <c r="U6" s="7">
        <f>$B6 * IFERROR(VLOOKUP("transport|SO2|Asthma symptoms cough", US_national_yearly!$D:$AM, 29, FALSE) / VLOOKUP("transport|SO2|Asthma symptoms cough", US_national_yearly!$D:$AM, 10, FALSE), 1)</f>
        <v>2.3968481278334793E-2</v>
      </c>
      <c r="V6" s="7">
        <f>$B6 * IFERROR(VLOOKUP("transport|SO2|Asthma symptoms cough", US_national_yearly!$D:$AM, 30, FALSE) / VLOOKUP("transport|SO2|Asthma symptoms cough", US_national_yearly!$D:$AM, 10, FALSE), 1)</f>
        <v>2.3968481278334793E-2</v>
      </c>
      <c r="W6" s="7">
        <f>$B6 * IFERROR(VLOOKUP("transport|SO2|Asthma symptoms cough", US_national_yearly!$D:$AM, 31, FALSE) / VLOOKUP("transport|SO2|Asthma symptoms cough", US_national_yearly!$D:$AM, 10, FALSE), 1)</f>
        <v>2.3968481278334793E-2</v>
      </c>
      <c r="X6" s="7">
        <f>$B6 * IFERROR(VLOOKUP("transport|SO2|Asthma symptoms cough", US_national_yearly!$D:$AM, 32, FALSE) / VLOOKUP("transport|SO2|Asthma symptoms cough", US_national_yearly!$D:$AM, 10, FALSE), 1)</f>
        <v>2.3968481278334793E-2</v>
      </c>
      <c r="Y6" s="7">
        <f>$B6 * IFERROR(VLOOKUP("transport|SO2|Asthma symptoms cough", US_national_yearly!$D:$AM, 33, FALSE) / VLOOKUP("transport|SO2|Asthma symptoms cough", US_national_yearly!$D:$AM, 10, FALSE), 1)</f>
        <v>2.3968481278334793E-2</v>
      </c>
      <c r="Z6" s="7">
        <f>$B6 * IFERROR(VLOOKUP("transport|SO2|Asthma symptoms cough", US_national_yearly!$D:$AM, 34, FALSE) / VLOOKUP("transport|SO2|Asthma symptoms cough", US_national_yearly!$D:$AM, 10, FALSE), 1)</f>
        <v>2.3968481278334793E-2</v>
      </c>
      <c r="AA6" s="7">
        <f>$B6 * IFERROR(VLOOKUP("transport|SO2|Asthma symptoms cough", US_national_yearly!$D:$AM, 35, FALSE) / VLOOKUP("transport|SO2|Asthma symptoms cough", US_national_yearly!$D:$AM, 10, FALSE), 1)</f>
        <v>2.3968481278334793E-2</v>
      </c>
      <c r="AB6" s="7">
        <f>$B6 * IFERROR(VLOOKUP("transport|SO2|Asthma symptoms cough", US_national_yearly!$D:$AM, 36, FALSE) / VLOOKUP("transport|SO2|Asthma symptoms cough", US_national_yearly!$D:$AM, 10, FALSE), 1)</f>
        <v>2.3968481278334793E-2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3.2276974953676381E-2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3.2276974953676381E-2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3.2276974953676381E-2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3.2276974953676381E-2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3.2276974953676381E-2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3.2276974953676381E-2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3.2276974953676381E-2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3.2276974953676381E-2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3.2276974953676381E-2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3.2276974953676381E-2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3.2276974953676381E-2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3.2276974953676381E-2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3.2276974953676381E-2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3.2276974953676381E-2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3.2276974953676381E-2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3.2276974953676381E-2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3.2276974953676381E-2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3.2276974953676381E-2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3.2276974953676381E-2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3.2276974953676381E-2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3.2276974953676381E-2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3.2276974953676381E-2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3.2276974953676381E-2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3.2276974953676381E-2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3.2276974953676381E-2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3.2276974953676381E-2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3.2276974953676381E-2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4.9313972346717916E-2</v>
      </c>
      <c r="C8" s="7">
        <f>$B8 * IFERROR(VLOOKUP("transport|SO2|Asthma symptoms wheeze", US_national_yearly!$D:$AM, 11, FALSE) / VLOOKUP("transport|SO2|Asthma symptoms wheeze", US_national_yearly!$D:$AM, 10, FALSE), 1)</f>
        <v>4.9313972346717916E-2</v>
      </c>
      <c r="D8" s="7">
        <f>$B8 * IFERROR(VLOOKUP("transport|SO2|Asthma symptoms wheeze", US_national_yearly!$D:$AM, 12, FALSE) / VLOOKUP("transport|SO2|Asthma symptoms wheeze", US_national_yearly!$D:$AM, 10, FALSE), 1)</f>
        <v>4.9313972346717916E-2</v>
      </c>
      <c r="E8" s="7">
        <f>$B8 * IFERROR(VLOOKUP("transport|SO2|Asthma symptoms wheeze", US_national_yearly!$D:$AM, 13, FALSE) / VLOOKUP("transport|SO2|Asthma symptoms wheeze", US_national_yearly!$D:$AM, 10, FALSE), 1)</f>
        <v>4.9313972346717916E-2</v>
      </c>
      <c r="F8" s="7">
        <f>$B8 * IFERROR(VLOOKUP("transport|SO2|Asthma symptoms wheeze", US_national_yearly!$D:$AM, 14, FALSE) / VLOOKUP("transport|SO2|Asthma symptoms wheeze", US_national_yearly!$D:$AM, 10, FALSE), 1)</f>
        <v>4.9313972346717916E-2</v>
      </c>
      <c r="G8" s="7">
        <f>$B8 * IFERROR(VLOOKUP("transport|SO2|Asthma symptoms wheeze", US_national_yearly!$D:$AM, 15, FALSE) / VLOOKUP("transport|SO2|Asthma symptoms wheeze", US_national_yearly!$D:$AM, 10, FALSE), 1)</f>
        <v>4.9313972346717916E-2</v>
      </c>
      <c r="H8" s="7">
        <f>$B8 * IFERROR(VLOOKUP("transport|SO2|Asthma symptoms wheeze", US_national_yearly!$D:$AM, 16, FALSE) / VLOOKUP("transport|SO2|Asthma symptoms wheeze", US_national_yearly!$D:$AM, 10, FALSE), 1)</f>
        <v>4.9313972346717916E-2</v>
      </c>
      <c r="I8" s="7">
        <f>$B8 * IFERROR(VLOOKUP("transport|SO2|Asthma symptoms wheeze", US_national_yearly!$D:$AM, 17, FALSE) / VLOOKUP("transport|SO2|Asthma symptoms wheeze", US_national_yearly!$D:$AM, 10, FALSE), 1)</f>
        <v>4.9313972346717916E-2</v>
      </c>
      <c r="J8" s="7">
        <f>$B8 * IFERROR(VLOOKUP("transport|SO2|Asthma symptoms wheeze", US_national_yearly!$D:$AM, 18, FALSE) / VLOOKUP("transport|SO2|Asthma symptoms wheeze", US_national_yearly!$D:$AM, 10, FALSE), 1)</f>
        <v>4.9313972346717916E-2</v>
      </c>
      <c r="K8" s="7">
        <f>$B8 * IFERROR(VLOOKUP("transport|SO2|Asthma symptoms wheeze", US_national_yearly!$D:$AM, 19, FALSE) / VLOOKUP("transport|SO2|Asthma symptoms wheeze", US_national_yearly!$D:$AM, 10, FALSE), 1)</f>
        <v>4.9313972346717916E-2</v>
      </c>
      <c r="L8" s="7">
        <f>$B8 * IFERROR(VLOOKUP("transport|SO2|Asthma symptoms wheeze", US_national_yearly!$D:$AM, 20, FALSE) / VLOOKUP("transport|SO2|Asthma symptoms wheeze", US_national_yearly!$D:$AM, 10, FALSE), 1)</f>
        <v>4.9313972346717916E-2</v>
      </c>
      <c r="M8" s="7">
        <f>$B8 * IFERROR(VLOOKUP("transport|SO2|Asthma symptoms wheeze", US_national_yearly!$D:$AM, 21, FALSE) / VLOOKUP("transport|SO2|Asthma symptoms wheeze", US_national_yearly!$D:$AM, 10, FALSE), 1)</f>
        <v>4.9313972346717916E-2</v>
      </c>
      <c r="N8" s="7">
        <f>$B8 * IFERROR(VLOOKUP("transport|SO2|Asthma symptoms wheeze", US_national_yearly!$D:$AM, 22, FALSE) / VLOOKUP("transport|SO2|Asthma symptoms wheeze", US_national_yearly!$D:$AM, 10, FALSE), 1)</f>
        <v>4.9313972346717916E-2</v>
      </c>
      <c r="O8" s="7">
        <f>$B8 * IFERROR(VLOOKUP("transport|SO2|Asthma symptoms wheeze", US_national_yearly!$D:$AM, 23, FALSE) / VLOOKUP("transport|SO2|Asthma symptoms wheeze", US_national_yearly!$D:$AM, 10, FALSE), 1)</f>
        <v>4.9313972346717916E-2</v>
      </c>
      <c r="P8" s="7">
        <f>$B8 * IFERROR(VLOOKUP("transport|SO2|Asthma symptoms wheeze", US_national_yearly!$D:$AM, 24, FALSE) / VLOOKUP("transport|SO2|Asthma symptoms wheeze", US_national_yearly!$D:$AM, 10, FALSE), 1)</f>
        <v>4.9313972346717916E-2</v>
      </c>
      <c r="Q8" s="7">
        <f>$B8 * IFERROR(VLOOKUP("transport|SO2|Asthma symptoms wheeze", US_national_yearly!$D:$AM, 25, FALSE) / VLOOKUP("transport|SO2|Asthma symptoms wheeze", US_national_yearly!$D:$AM, 10, FALSE), 1)</f>
        <v>4.9313972346717916E-2</v>
      </c>
      <c r="R8" s="7">
        <f>$B8 * IFERROR(VLOOKUP("transport|SO2|Asthma symptoms wheeze", US_national_yearly!$D:$AM, 26, FALSE) / VLOOKUP("transport|SO2|Asthma symptoms wheeze", US_national_yearly!$D:$AM, 10, FALSE), 1)</f>
        <v>4.9313972346717916E-2</v>
      </c>
      <c r="S8" s="7">
        <f>$B8 * IFERROR(VLOOKUP("transport|SO2|Asthma symptoms wheeze", US_national_yearly!$D:$AM, 27, FALSE) / VLOOKUP("transport|SO2|Asthma symptoms wheeze", US_national_yearly!$D:$AM, 10, FALSE), 1)</f>
        <v>4.9313972346717916E-2</v>
      </c>
      <c r="T8" s="7">
        <f>$B8 * IFERROR(VLOOKUP("transport|SO2|Asthma symptoms wheeze", US_national_yearly!$D:$AM, 28, FALSE) / VLOOKUP("transport|SO2|Asthma symptoms wheeze", US_national_yearly!$D:$AM, 10, FALSE), 1)</f>
        <v>4.9313972346717916E-2</v>
      </c>
      <c r="U8" s="7">
        <f>$B8 * IFERROR(VLOOKUP("transport|SO2|Asthma symptoms wheeze", US_national_yearly!$D:$AM, 29, FALSE) / VLOOKUP("transport|SO2|Asthma symptoms wheeze", US_national_yearly!$D:$AM, 10, FALSE), 1)</f>
        <v>4.9313972346717916E-2</v>
      </c>
      <c r="V8" s="7">
        <f>$B8 * IFERROR(VLOOKUP("transport|SO2|Asthma symptoms wheeze", US_national_yearly!$D:$AM, 30, FALSE) / VLOOKUP("transport|SO2|Asthma symptoms wheeze", US_national_yearly!$D:$AM, 10, FALSE), 1)</f>
        <v>4.9313972346717916E-2</v>
      </c>
      <c r="W8" s="7">
        <f>$B8 * IFERROR(VLOOKUP("transport|SO2|Asthma symptoms wheeze", US_national_yearly!$D:$AM, 31, FALSE) / VLOOKUP("transport|SO2|Asthma symptoms wheeze", US_national_yearly!$D:$AM, 10, FALSE), 1)</f>
        <v>4.9313972346717916E-2</v>
      </c>
      <c r="X8" s="7">
        <f>$B8 * IFERROR(VLOOKUP("transport|SO2|Asthma symptoms wheeze", US_national_yearly!$D:$AM, 32, FALSE) / VLOOKUP("transport|SO2|Asthma symptoms wheeze", US_national_yearly!$D:$AM, 10, FALSE), 1)</f>
        <v>4.9313972346717916E-2</v>
      </c>
      <c r="Y8" s="7">
        <f>$B8 * IFERROR(VLOOKUP("transport|SO2|Asthma symptoms wheeze", US_national_yearly!$D:$AM, 33, FALSE) / VLOOKUP("transport|SO2|Asthma symptoms wheeze", US_national_yearly!$D:$AM, 10, FALSE), 1)</f>
        <v>4.9313972346717916E-2</v>
      </c>
      <c r="Z8" s="7">
        <f>$B8 * IFERROR(VLOOKUP("transport|SO2|Asthma symptoms wheeze", US_national_yearly!$D:$AM, 34, FALSE) / VLOOKUP("transport|SO2|Asthma symptoms wheeze", US_national_yearly!$D:$AM, 10, FALSE), 1)</f>
        <v>4.9313972346717916E-2</v>
      </c>
      <c r="AA8" s="7">
        <f>$B8 * IFERROR(VLOOKUP("transport|SO2|Asthma symptoms wheeze", US_national_yearly!$D:$AM, 35, FALSE) / VLOOKUP("transport|SO2|Asthma symptoms wheeze", US_national_yearly!$D:$AM, 10, FALSE), 1)</f>
        <v>4.9313972346717916E-2</v>
      </c>
      <c r="AB8" s="7">
        <f>$B8 * IFERROR(VLOOKUP("transport|SO2|Asthma symptoms wheeze", US_national_yearly!$D:$AM, 36, FALSE) / VLOOKUP("transport|SO2|Asthma symptoms wheeze", US_national_yearly!$D:$AM, 10, FALSE), 1)</f>
        <v>4.9313972346717916E-2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4.5175547026656671E-4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4.5441994648014162E-4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4.5708442269371653E-4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4.5974889890729138E-4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4.6241337512086629E-4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4.6531810361351631E-4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4.6822283210616632E-4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4.710872402488915E-4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4.7395164839161684E-4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4.768160565343419E-4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4.7968046467706718E-4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4.8254487281979231E-4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4.8463580234371921E-4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4.8672673186764606E-4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4.8881766139157281E-4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4.9090859091549977E-4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4.9299952043942662E-4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4.9499410766282821E-4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4.9698869488622969E-4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4.9898328210963138E-4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5.0097786933303297E-4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5.0297245655643455E-4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5.048649923591373E-4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5.0675752816183993E-4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5.0865006396454268E-4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5.1054259976724531E-4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5.1243513556994806E-4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2.8350061277338857E-3</v>
      </c>
      <c r="C13" s="7">
        <f>$B13 * IFERROR(VLOOKUP("transport|SO2|Non-fatal heart attacks", US_national_yearly!$D:$AM, 11, FALSE) / VLOOKUP("transport|SO2|Non-fatal heart attacks", US_national_yearly!$D:$AM, 10, FALSE), 1)</f>
        <v>2.9182316103372875E-3</v>
      </c>
      <c r="D13" s="7">
        <f>$B13 * IFERROR(VLOOKUP("transport|SO2|Non-fatal heart attacks", US_national_yearly!$D:$AM, 12, FALSE) / VLOOKUP("transport|SO2|Non-fatal heart attacks", US_national_yearly!$D:$AM, 10, FALSE), 1)</f>
        <v>3.0014570929406889E-3</v>
      </c>
      <c r="E13" s="7">
        <f>$B13 * IFERROR(VLOOKUP("transport|SO2|Non-fatal heart attacks", US_national_yearly!$D:$AM, 13, FALSE) / VLOOKUP("transport|SO2|Non-fatal heart attacks", US_national_yearly!$D:$AM, 10, FALSE), 1)</f>
        <v>3.0846825755440907E-3</v>
      </c>
      <c r="F13" s="7">
        <f>$B13 * IFERROR(VLOOKUP("transport|SO2|Non-fatal heart attacks", US_national_yearly!$D:$AM, 14, FALSE) / VLOOKUP("transport|SO2|Non-fatal heart attacks", US_national_yearly!$D:$AM, 10, FALSE), 1)</f>
        <v>3.1679080581474917E-3</v>
      </c>
      <c r="G13" s="7">
        <f>$B13 * IFERROR(VLOOKUP("transport|SO2|Non-fatal heart attacks", US_national_yearly!$D:$AM, 15, FALSE) / VLOOKUP("transport|SO2|Non-fatal heart attacks", US_national_yearly!$D:$AM, 10, FALSE), 1)</f>
        <v>3.2463974078776022E-3</v>
      </c>
      <c r="H13" s="7">
        <f>$B13 * IFERROR(VLOOKUP("transport|SO2|Non-fatal heart attacks", US_national_yearly!$D:$AM, 16, FALSE) / VLOOKUP("transport|SO2|Non-fatal heart attacks", US_national_yearly!$D:$AM, 10, FALSE), 1)</f>
        <v>3.3248867576077131E-3</v>
      </c>
      <c r="I13" s="7">
        <f>$B13 * IFERROR(VLOOKUP("transport|SO2|Non-fatal heart attacks", US_national_yearly!$D:$AM, 17, FALSE) / VLOOKUP("transport|SO2|Non-fatal heart attacks", US_national_yearly!$D:$AM, 10, FALSE), 1)</f>
        <v>3.3880460788672817E-3</v>
      </c>
      <c r="J13" s="7">
        <f>$B13 * IFERROR(VLOOKUP("transport|SO2|Non-fatal heart attacks", US_national_yearly!$D:$AM, 18, FALSE) / VLOOKUP("transport|SO2|Non-fatal heart attacks", US_national_yearly!$D:$AM, 10, FALSE), 1)</f>
        <v>3.4512054001268511E-3</v>
      </c>
      <c r="K13" s="7">
        <f>$B13 * IFERROR(VLOOKUP("transport|SO2|Non-fatal heart attacks", US_national_yearly!$D:$AM, 19, FALSE) / VLOOKUP("transport|SO2|Non-fatal heart attacks", US_national_yearly!$D:$AM, 10, FALSE), 1)</f>
        <v>3.5143647213864201E-3</v>
      </c>
      <c r="L13" s="7">
        <f>$B13 * IFERROR(VLOOKUP("transport|SO2|Non-fatal heart attacks", US_national_yearly!$D:$AM, 20, FALSE) / VLOOKUP("transport|SO2|Non-fatal heart attacks", US_national_yearly!$D:$AM, 10, FALSE), 1)</f>
        <v>3.5775240426459904E-3</v>
      </c>
      <c r="M13" s="7">
        <f>$B13 * IFERROR(VLOOKUP("transport|SO2|Non-fatal heart attacks", US_national_yearly!$D:$AM, 21, FALSE) / VLOOKUP("transport|SO2|Non-fatal heart attacks", US_national_yearly!$D:$AM, 10, FALSE), 1)</f>
        <v>3.6406833639055598E-3</v>
      </c>
      <c r="N13" s="7">
        <f>$B13 * IFERROR(VLOOKUP("transport|SO2|Non-fatal heart attacks", US_national_yearly!$D:$AM, 22, FALSE) / VLOOKUP("transport|SO2|Non-fatal heart attacks", US_national_yearly!$D:$AM, 10, FALSE), 1)</f>
        <v>3.681693474265238E-3</v>
      </c>
      <c r="O13" s="7">
        <f>$B13 * IFERROR(VLOOKUP("transport|SO2|Non-fatal heart attacks", US_national_yearly!$D:$AM, 23, FALSE) / VLOOKUP("transport|SO2|Non-fatal heart attacks", US_national_yearly!$D:$AM, 10, FALSE), 1)</f>
        <v>3.7227035846249174E-3</v>
      </c>
      <c r="P13" s="7">
        <f>$B13 * IFERROR(VLOOKUP("transport|SO2|Non-fatal heart attacks", US_national_yearly!$D:$AM, 24, FALSE) / VLOOKUP("transport|SO2|Non-fatal heart attacks", US_national_yearly!$D:$AM, 10, FALSE), 1)</f>
        <v>3.7637136949845969E-3</v>
      </c>
      <c r="Q13" s="7">
        <f>$B13 * IFERROR(VLOOKUP("transport|SO2|Non-fatal heart attacks", US_national_yearly!$D:$AM, 25, FALSE) / VLOOKUP("transport|SO2|Non-fatal heart attacks", US_national_yearly!$D:$AM, 10, FALSE), 1)</f>
        <v>3.8047238053442759E-3</v>
      </c>
      <c r="R13" s="7">
        <f>$B13 * IFERROR(VLOOKUP("transport|SO2|Non-fatal heart attacks", US_national_yearly!$D:$AM, 26, FALSE) / VLOOKUP("transport|SO2|Non-fatal heart attacks", US_national_yearly!$D:$AM, 10, FALSE), 1)</f>
        <v>3.845733915703955E-3</v>
      </c>
      <c r="S13" s="7">
        <f>$B13 * IFERROR(VLOOKUP("transport|SO2|Non-fatal heart attacks", US_national_yearly!$D:$AM, 27, FALSE) / VLOOKUP("transport|SO2|Non-fatal heart attacks", US_national_yearly!$D:$AM, 10, FALSE), 1)</f>
        <v>3.8671450636495238E-3</v>
      </c>
      <c r="T13" s="7">
        <f>$B13 * IFERROR(VLOOKUP("transport|SO2|Non-fatal heart attacks", US_national_yearly!$D:$AM, 28, FALSE) / VLOOKUP("transport|SO2|Non-fatal heart attacks", US_national_yearly!$D:$AM, 10, FALSE), 1)</f>
        <v>3.8885562115950931E-3</v>
      </c>
      <c r="U13" s="7">
        <f>$B13 * IFERROR(VLOOKUP("transport|SO2|Non-fatal heart attacks", US_national_yearly!$D:$AM, 29, FALSE) / VLOOKUP("transport|SO2|Non-fatal heart attacks", US_national_yearly!$D:$AM, 10, FALSE), 1)</f>
        <v>3.9099673595406614E-3</v>
      </c>
      <c r="V13" s="7">
        <f>$B13 * IFERROR(VLOOKUP("transport|SO2|Non-fatal heart attacks", US_national_yearly!$D:$AM, 30, FALSE) / VLOOKUP("transport|SO2|Non-fatal heart attacks", US_national_yearly!$D:$AM, 10, FALSE), 1)</f>
        <v>3.9313785074862303E-3</v>
      </c>
      <c r="W13" s="7">
        <f>$B13 * IFERROR(VLOOKUP("transport|SO2|Non-fatal heart attacks", US_national_yearly!$D:$AM, 31, FALSE) / VLOOKUP("transport|SO2|Non-fatal heart attacks", US_national_yearly!$D:$AM, 10, FALSE), 1)</f>
        <v>3.9527896554317999E-3</v>
      </c>
      <c r="X13" s="7">
        <f>$B13 * IFERROR(VLOOKUP("transport|SO2|Non-fatal heart attacks", US_national_yearly!$D:$AM, 32, FALSE) / VLOOKUP("transport|SO2|Non-fatal heart attacks", US_national_yearly!$D:$AM, 10, FALSE), 1)</f>
        <v>3.9689531992151347E-3</v>
      </c>
      <c r="Y13" s="7">
        <f>$B13 * IFERROR(VLOOKUP("transport|SO2|Non-fatal heart attacks", US_national_yearly!$D:$AM, 33, FALSE) / VLOOKUP("transport|SO2|Non-fatal heart attacks", US_national_yearly!$D:$AM, 10, FALSE), 1)</f>
        <v>3.9851167429984704E-3</v>
      </c>
      <c r="Z13" s="7">
        <f>$B13 * IFERROR(VLOOKUP("transport|SO2|Non-fatal heart attacks", US_national_yearly!$D:$AM, 34, FALSE) / VLOOKUP("transport|SO2|Non-fatal heart attacks", US_national_yearly!$D:$AM, 10, FALSE), 1)</f>
        <v>4.0012802867818061E-3</v>
      </c>
      <c r="AA13" s="7">
        <f>$B13 * IFERROR(VLOOKUP("transport|SO2|Non-fatal heart attacks", US_national_yearly!$D:$AM, 35, FALSE) / VLOOKUP("transport|SO2|Non-fatal heart attacks", US_national_yearly!$D:$AM, 10, FALSE), 1)</f>
        <v>4.0174438305651409E-3</v>
      </c>
      <c r="AB13" s="7">
        <f>$B13 * IFERROR(VLOOKUP("transport|SO2|Non-fatal heart attacks", US_national_yearly!$D:$AM, 36, FALSE) / VLOOKUP("transport|SO2|Non-fatal heart attacks", US_national_yearly!$D:$AM, 10, FALSE), 1)</f>
        <v>4.0336073743484765E-3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2.7040025556301757</v>
      </c>
      <c r="C14" s="7">
        <f>$B14 * IFERROR(VLOOKUP("transport|SO2|Minor restricted activity days", US_national_yearly!$D:$AM, 11, FALSE) / VLOOKUP("transport|SO2|Minor restricted activity days", US_national_yearly!$D:$AM, 10, FALSE), 1)</f>
        <v>2.7108184451200281</v>
      </c>
      <c r="D14" s="7">
        <f>$B14 * IFERROR(VLOOKUP("transport|SO2|Minor restricted activity days", US_national_yearly!$D:$AM, 12, FALSE) / VLOOKUP("transport|SO2|Minor restricted activity days", US_national_yearly!$D:$AM, 10, FALSE), 1)</f>
        <v>2.7176343346098797</v>
      </c>
      <c r="E14" s="7">
        <f>$B14 * IFERROR(VLOOKUP("transport|SO2|Minor restricted activity days", US_national_yearly!$D:$AM, 13, FALSE) / VLOOKUP("transport|SO2|Minor restricted activity days", US_national_yearly!$D:$AM, 10, FALSE), 1)</f>
        <v>2.7244502240997321</v>
      </c>
      <c r="F14" s="7">
        <f>$B14 * IFERROR(VLOOKUP("transport|SO2|Minor restricted activity days", US_national_yearly!$D:$AM, 14, FALSE) / VLOOKUP("transport|SO2|Minor restricted activity days", US_national_yearly!$D:$AM, 10, FALSE), 1)</f>
        <v>2.7312661135895842</v>
      </c>
      <c r="G14" s="7">
        <f>$B14 * IFERROR(VLOOKUP("transport|SO2|Minor restricted activity days", US_national_yearly!$D:$AM, 15, FALSE) / VLOOKUP("transport|SO2|Minor restricted activity days", US_national_yearly!$D:$AM, 10, FALSE), 1)</f>
        <v>2.7412984333219237</v>
      </c>
      <c r="H14" s="7">
        <f>$B14 * IFERROR(VLOOKUP("transport|SO2|Minor restricted activity days", US_national_yearly!$D:$AM, 16, FALSE) / VLOOKUP("transport|SO2|Minor restricted activity days", US_national_yearly!$D:$AM, 10, FALSE), 1)</f>
        <v>2.7513307530542637</v>
      </c>
      <c r="I14" s="7">
        <f>$B14 * IFERROR(VLOOKUP("transport|SO2|Minor restricted activity days", US_national_yearly!$D:$AM, 17, FALSE) / VLOOKUP("transport|SO2|Minor restricted activity days", US_national_yearly!$D:$AM, 10, FALSE), 1)</f>
        <v>2.7684399392360084</v>
      </c>
      <c r="J14" s="7">
        <f>$B14 * IFERROR(VLOOKUP("transport|SO2|Minor restricted activity days", US_national_yearly!$D:$AM, 18, FALSE) / VLOOKUP("transport|SO2|Minor restricted activity days", US_national_yearly!$D:$AM, 10, FALSE), 1)</f>
        <v>2.7855491254177527</v>
      </c>
      <c r="K14" s="7">
        <f>$B14 * IFERROR(VLOOKUP("transport|SO2|Minor restricted activity days", US_national_yearly!$D:$AM, 19, FALSE) / VLOOKUP("transport|SO2|Minor restricted activity days", US_national_yearly!$D:$AM, 10, FALSE), 1)</f>
        <v>2.8026583115994979</v>
      </c>
      <c r="L14" s="7">
        <f>$B14 * IFERROR(VLOOKUP("transport|SO2|Minor restricted activity days", US_national_yearly!$D:$AM, 20, FALSE) / VLOOKUP("transport|SO2|Minor restricted activity days", US_national_yearly!$D:$AM, 10, FALSE), 1)</f>
        <v>2.8197674977812426</v>
      </c>
      <c r="M14" s="7">
        <f>$B14 * IFERROR(VLOOKUP("transport|SO2|Minor restricted activity days", US_national_yearly!$D:$AM, 21, FALSE) / VLOOKUP("transport|SO2|Minor restricted activity days", US_national_yearly!$D:$AM, 10, FALSE), 1)</f>
        <v>2.8368766839629869</v>
      </c>
      <c r="N14" s="7">
        <f>$B14 * IFERROR(VLOOKUP("transport|SO2|Minor restricted activity days", US_national_yearly!$D:$AM, 22, FALSE) / VLOOKUP("transport|SO2|Minor restricted activity days", US_national_yearly!$D:$AM, 10, FALSE), 1)</f>
        <v>2.8602793053370776</v>
      </c>
      <c r="O14" s="7">
        <f>$B14 * IFERROR(VLOOKUP("transport|SO2|Minor restricted activity days", US_national_yearly!$D:$AM, 23, FALSE) / VLOOKUP("transport|SO2|Minor restricted activity days", US_national_yearly!$D:$AM, 10, FALSE), 1)</f>
        <v>2.8836819267111684</v>
      </c>
      <c r="P14" s="7">
        <f>$B14 * IFERROR(VLOOKUP("transport|SO2|Minor restricted activity days", US_national_yearly!$D:$AM, 24, FALSE) / VLOOKUP("transport|SO2|Minor restricted activity days", US_national_yearly!$D:$AM, 10, FALSE), 1)</f>
        <v>2.9070845480852592</v>
      </c>
      <c r="Q14" s="7">
        <f>$B14 * IFERROR(VLOOKUP("transport|SO2|Minor restricted activity days", US_national_yearly!$D:$AM, 25, FALSE) / VLOOKUP("transport|SO2|Minor restricted activity days", US_national_yearly!$D:$AM, 10, FALSE), 1)</f>
        <v>2.9304871694593495</v>
      </c>
      <c r="R14" s="7">
        <f>$B14 * IFERROR(VLOOKUP("transport|SO2|Minor restricted activity days", US_national_yearly!$D:$AM, 26, FALSE) / VLOOKUP("transport|SO2|Minor restricted activity days", US_national_yearly!$D:$AM, 10, FALSE), 1)</f>
        <v>2.9538897908334403</v>
      </c>
      <c r="S14" s="7">
        <f>$B14 * IFERROR(VLOOKUP("transport|SO2|Minor restricted activity days", US_national_yearly!$D:$AM, 27, FALSE) / VLOOKUP("transport|SO2|Minor restricted activity days", US_national_yearly!$D:$AM, 10, FALSE), 1)</f>
        <v>2.9777510538307319</v>
      </c>
      <c r="T14" s="7">
        <f>$B14 * IFERROR(VLOOKUP("transport|SO2|Minor restricted activity days", US_national_yearly!$D:$AM, 28, FALSE) / VLOOKUP("transport|SO2|Minor restricted activity days", US_national_yearly!$D:$AM, 10, FALSE), 1)</f>
        <v>3.001612316828024</v>
      </c>
      <c r="U14" s="7">
        <f>$B14 * IFERROR(VLOOKUP("transport|SO2|Minor restricted activity days", US_national_yearly!$D:$AM, 29, FALSE) / VLOOKUP("transport|SO2|Minor restricted activity days", US_national_yearly!$D:$AM, 10, FALSE), 1)</f>
        <v>3.0254735798253156</v>
      </c>
      <c r="V14" s="7">
        <f>$B14 * IFERROR(VLOOKUP("transport|SO2|Minor restricted activity days", US_national_yearly!$D:$AM, 30, FALSE) / VLOOKUP("transport|SO2|Minor restricted activity days", US_national_yearly!$D:$AM, 10, FALSE), 1)</f>
        <v>3.0493348428226072</v>
      </c>
      <c r="W14" s="7">
        <f>$B14 * IFERROR(VLOOKUP("transport|SO2|Minor restricted activity days", US_national_yearly!$D:$AM, 31, FALSE) / VLOOKUP("transport|SO2|Minor restricted activity days", US_national_yearly!$D:$AM, 10, FALSE), 1)</f>
        <v>3.0731961058198998</v>
      </c>
      <c r="X14" s="7">
        <f>$B14 * IFERROR(VLOOKUP("transport|SO2|Minor restricted activity days", US_national_yearly!$D:$AM, 32, FALSE) / VLOOKUP("transport|SO2|Minor restricted activity days", US_national_yearly!$D:$AM, 10, FALSE), 1)</f>
        <v>3.0941801851502118</v>
      </c>
      <c r="Y14" s="7">
        <f>$B14 * IFERROR(VLOOKUP("transport|SO2|Minor restricted activity days", US_national_yearly!$D:$AM, 33, FALSE) / VLOOKUP("transport|SO2|Minor restricted activity days", US_national_yearly!$D:$AM, 10, FALSE), 1)</f>
        <v>3.1151642644805233</v>
      </c>
      <c r="Z14" s="7">
        <f>$B14 * IFERROR(VLOOKUP("transport|SO2|Minor restricted activity days", US_national_yearly!$D:$AM, 34, FALSE) / VLOOKUP("transport|SO2|Minor restricted activity days", US_national_yearly!$D:$AM, 10, FALSE), 1)</f>
        <v>3.1361483438108357</v>
      </c>
      <c r="AA14" s="7">
        <f>$B14 * IFERROR(VLOOKUP("transport|SO2|Minor restricted activity days", US_national_yearly!$D:$AM, 35, FALSE) / VLOOKUP("transport|SO2|Minor restricted activity days", US_national_yearly!$D:$AM, 10, FALSE), 1)</f>
        <v>3.1571324231411477</v>
      </c>
      <c r="AB14" s="7">
        <f>$B14 * IFERROR(VLOOKUP("transport|SO2|Minor restricted activity days", US_national_yearly!$D:$AM, 36, FALSE) / VLOOKUP("transport|SO2|Minor restricted activity days", US_national_yearly!$D:$AM, 10, FALSE), 1)</f>
        <v>3.1781165024714602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0.46162660372607484</v>
      </c>
      <c r="C15" s="7">
        <f>$B15 * IFERROR(VLOOKUP("transport|SO2|Work loss days", US_national_yearly!$D:$AM, 11, FALSE) / VLOOKUP("transport|SO2|Work loss days", US_national_yearly!$D:$AM, 10, FALSE), 1)</f>
        <v>0.4631222005530885</v>
      </c>
      <c r="D15" s="7">
        <f>$B15 * IFERROR(VLOOKUP("transport|SO2|Work loss days", US_national_yearly!$D:$AM, 12, FALSE) / VLOOKUP("transport|SO2|Work loss days", US_national_yearly!$D:$AM, 10, FALSE), 1)</f>
        <v>0.46461779738010212</v>
      </c>
      <c r="E15" s="7">
        <f>$B15 * IFERROR(VLOOKUP("transport|SO2|Work loss days", US_national_yearly!$D:$AM, 13, FALSE) / VLOOKUP("transport|SO2|Work loss days", US_national_yearly!$D:$AM, 10, FALSE), 1)</f>
        <v>0.46611339420711578</v>
      </c>
      <c r="F15" s="7">
        <f>$B15 * IFERROR(VLOOKUP("transport|SO2|Work loss days", US_national_yearly!$D:$AM, 14, FALSE) / VLOOKUP("transport|SO2|Work loss days", US_national_yearly!$D:$AM, 10, FALSE), 1)</f>
        <v>0.46760899103412945</v>
      </c>
      <c r="G15" s="7">
        <f>$B15 * IFERROR(VLOOKUP("transport|SO2|Work loss days", US_national_yearly!$D:$AM, 15, FALSE) / VLOOKUP("transport|SO2|Work loss days", US_national_yearly!$D:$AM, 10, FALSE), 1)</f>
        <v>0.46956317128659103</v>
      </c>
      <c r="H15" s="7">
        <f>$B15 * IFERROR(VLOOKUP("transport|SO2|Work loss days", US_national_yearly!$D:$AM, 16, FALSE) / VLOOKUP("transport|SO2|Work loss days", US_national_yearly!$D:$AM, 10, FALSE), 1)</f>
        <v>0.4715173515390525</v>
      </c>
      <c r="I15" s="7">
        <f>$B15 * IFERROR(VLOOKUP("transport|SO2|Work loss days", US_national_yearly!$D:$AM, 17, FALSE) / VLOOKUP("transport|SO2|Work loss days", US_national_yearly!$D:$AM, 10, FALSE), 1)</f>
        <v>0.47437605491863044</v>
      </c>
      <c r="J15" s="7">
        <f>$B15 * IFERROR(VLOOKUP("transport|SO2|Work loss days", US_national_yearly!$D:$AM, 18, FALSE) / VLOOKUP("transport|SO2|Work loss days", US_national_yearly!$D:$AM, 10, FALSE), 1)</f>
        <v>0.47723475829820833</v>
      </c>
      <c r="K15" s="7">
        <f>$B15 * IFERROR(VLOOKUP("transport|SO2|Work loss days", US_national_yearly!$D:$AM, 19, FALSE) / VLOOKUP("transport|SO2|Work loss days", US_national_yearly!$D:$AM, 10, FALSE), 1)</f>
        <v>0.48009346167778627</v>
      </c>
      <c r="L15" s="7">
        <f>$B15 * IFERROR(VLOOKUP("transport|SO2|Work loss days", US_national_yearly!$D:$AM, 20, FALSE) / VLOOKUP("transport|SO2|Work loss days", US_national_yearly!$D:$AM, 10, FALSE), 1)</f>
        <v>0.48295216505736427</v>
      </c>
      <c r="M15" s="7">
        <f>$B15 * IFERROR(VLOOKUP("transport|SO2|Work loss days", US_national_yearly!$D:$AM, 21, FALSE) / VLOOKUP("transport|SO2|Work loss days", US_national_yearly!$D:$AM, 10, FALSE), 1)</f>
        <v>0.48581086843694221</v>
      </c>
      <c r="N15" s="7">
        <f>$B15 * IFERROR(VLOOKUP("transport|SO2|Work loss days", US_national_yearly!$D:$AM, 22, FALSE) / VLOOKUP("transport|SO2|Work loss days", US_national_yearly!$D:$AM, 10, FALSE), 1)</f>
        <v>0.48939521922039753</v>
      </c>
      <c r="O15" s="7">
        <f>$B15 * IFERROR(VLOOKUP("transport|SO2|Work loss days", US_national_yearly!$D:$AM, 23, FALSE) / VLOOKUP("transport|SO2|Work loss days", US_national_yearly!$D:$AM, 10, FALSE), 1)</f>
        <v>0.4929795700038529</v>
      </c>
      <c r="P15" s="7">
        <f>$B15 * IFERROR(VLOOKUP("transport|SO2|Work loss days", US_national_yearly!$D:$AM, 24, FALSE) / VLOOKUP("transport|SO2|Work loss days", US_national_yearly!$D:$AM, 10, FALSE), 1)</f>
        <v>0.4965639207873081</v>
      </c>
      <c r="Q15" s="7">
        <f>$B15 * IFERROR(VLOOKUP("transport|SO2|Work loss days", US_national_yearly!$D:$AM, 25, FALSE) / VLOOKUP("transport|SO2|Work loss days", US_national_yearly!$D:$AM, 10, FALSE), 1)</f>
        <v>0.50014827157076347</v>
      </c>
      <c r="R15" s="7">
        <f>$B15 * IFERROR(VLOOKUP("transport|SO2|Work loss days", US_national_yearly!$D:$AM, 26, FALSE) / VLOOKUP("transport|SO2|Work loss days", US_national_yearly!$D:$AM, 10, FALSE), 1)</f>
        <v>0.50373262235421878</v>
      </c>
      <c r="S15" s="7">
        <f>$B15 * IFERROR(VLOOKUP("transport|SO2|Work loss days", US_national_yearly!$D:$AM, 27, FALSE) / VLOOKUP("transport|SO2|Work loss days", US_national_yearly!$D:$AM, 10, FALSE), 1)</f>
        <v>0.50773812253727646</v>
      </c>
      <c r="T15" s="7">
        <f>$B15 * IFERROR(VLOOKUP("transport|SO2|Work loss days", US_national_yearly!$D:$AM, 28, FALSE) / VLOOKUP("transport|SO2|Work loss days", US_national_yearly!$D:$AM, 10, FALSE), 1)</f>
        <v>0.51174362272033436</v>
      </c>
      <c r="U15" s="7">
        <f>$B15 * IFERROR(VLOOKUP("transport|SO2|Work loss days", US_national_yearly!$D:$AM, 29, FALSE) / VLOOKUP("transport|SO2|Work loss days", US_national_yearly!$D:$AM, 10, FALSE), 1)</f>
        <v>0.51574912290339203</v>
      </c>
      <c r="V15" s="7">
        <f>$B15 * IFERROR(VLOOKUP("transport|SO2|Work loss days", US_national_yearly!$D:$AM, 30, FALSE) / VLOOKUP("transport|SO2|Work loss days", US_national_yearly!$D:$AM, 10, FALSE), 1)</f>
        <v>0.51975462308644982</v>
      </c>
      <c r="W15" s="7">
        <f>$B15 * IFERROR(VLOOKUP("transport|SO2|Work loss days", US_national_yearly!$D:$AM, 31, FALSE) / VLOOKUP("transport|SO2|Work loss days", US_national_yearly!$D:$AM, 10, FALSE), 1)</f>
        <v>0.5237601232695076</v>
      </c>
      <c r="X15" s="7">
        <f>$B15 * IFERROR(VLOOKUP("transport|SO2|Work loss days", US_national_yearly!$D:$AM, 32, FALSE) / VLOOKUP("transport|SO2|Work loss days", US_national_yearly!$D:$AM, 10, FALSE), 1)</f>
        <v>0.52735651032930531</v>
      </c>
      <c r="Y15" s="7">
        <f>$B15 * IFERROR(VLOOKUP("transport|SO2|Work loss days", US_national_yearly!$D:$AM, 33, FALSE) / VLOOKUP("transport|SO2|Work loss days", US_national_yearly!$D:$AM, 10, FALSE), 1)</f>
        <v>0.53095289738910312</v>
      </c>
      <c r="Z15" s="7">
        <f>$B15 * IFERROR(VLOOKUP("transport|SO2|Work loss days", US_national_yearly!$D:$AM, 34, FALSE) / VLOOKUP("transport|SO2|Work loss days", US_national_yearly!$D:$AM, 10, FALSE), 1)</f>
        <v>0.53454928444890093</v>
      </c>
      <c r="AA15" s="7">
        <f>$B15 * IFERROR(VLOOKUP("transport|SO2|Work loss days", US_national_yearly!$D:$AM, 35, FALSE) / VLOOKUP("transport|SO2|Work loss days", US_national_yearly!$D:$AM, 10, FALSE), 1)</f>
        <v>0.53814567150869874</v>
      </c>
      <c r="AB15" s="7">
        <f>$B15 * IFERROR(VLOOKUP("transport|SO2|Work loss days", US_national_yearly!$D:$AM, 36, FALSE) / VLOOKUP("transport|SO2|Work loss days", US_national_yearly!$D:$AM, 10, FALSE), 1)</f>
        <v>0.54174205856849655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6.9809101134444434E-4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7.1920395681241756E-4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7.4031690228039068E-4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7.614298477483639E-4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7.8254279321633723E-4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8.0276698744732844E-4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8.2299118167831976E-4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8.4031936941722832E-4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8.5764755715613678E-4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8.7497574489504534E-4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8.9230393263395379E-4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9.0963212037286213E-4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9.2127271534948256E-4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9.3291331032610276E-4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9.4455390530272308E-4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9.5619450027934329E-4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9.6783509525596371E-4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9.7395721940252947E-4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9.8007934354909522E-4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9.862014676956612E-4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9.9232359184222695E-4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9.9844571598879271E-4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1.0025557003103445E-3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1.0066656846318962E-3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1.010775668953448E-3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1.0148856532749997E-3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1.0189956375965513E-3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1.3000585165542502E-2</v>
      </c>
      <c r="C2" s="7">
        <f>$B2 * IFERROR(VLOOKUP("electricity|PM25|Premature mortality", US_national_yearly!$D:$AM, 11, FALSE) / VLOOKUP("electricity|PM25|Premature mortality", US_national_yearly!$D:$AM, 10, FALSE), 1)</f>
        <v>1.3161613504133125E-2</v>
      </c>
      <c r="D2" s="7">
        <f>$B2 * IFERROR(VLOOKUP("electricity|PM25|Premature mortality", US_national_yearly!$D:$AM, 12, FALSE) / VLOOKUP("electricity|PM25|Premature mortality", US_national_yearly!$D:$AM, 10, FALSE), 1)</f>
        <v>1.332264184272375E-2</v>
      </c>
      <c r="E2" s="7">
        <f>$B2 * IFERROR(VLOOKUP("electricity|PM25|Premature mortality", US_national_yearly!$D:$AM, 13, FALSE) / VLOOKUP("electricity|PM25|Premature mortality", US_national_yearly!$D:$AM, 10, FALSE), 1)</f>
        <v>1.3483670181314373E-2</v>
      </c>
      <c r="F2" s="7">
        <f>$B2 * IFERROR(VLOOKUP("electricity|PM25|Premature mortality", US_national_yearly!$D:$AM, 14, FALSE) / VLOOKUP("electricity|PM25|Premature mortality", US_national_yearly!$D:$AM, 10, FALSE), 1)</f>
        <v>1.3644698519905E-2</v>
      </c>
      <c r="G2" s="7">
        <f>$B2 * IFERROR(VLOOKUP("electricity|PM25|Premature mortality", US_national_yearly!$D:$AM, 15, FALSE) / VLOOKUP("electricity|PM25|Premature mortality", US_national_yearly!$D:$AM, 10, FALSE), 1)</f>
        <v>1.3960966740653761E-2</v>
      </c>
      <c r="H2" s="7">
        <f>$B2 * IFERROR(VLOOKUP("electricity|PM25|Premature mortality", US_national_yearly!$D:$AM, 16, FALSE) / VLOOKUP("electricity|PM25|Premature mortality", US_national_yearly!$D:$AM, 10, FALSE), 1)</f>
        <v>1.4277234961402525E-2</v>
      </c>
      <c r="I2" s="7">
        <f>$B2 * IFERROR(VLOOKUP("electricity|PM25|Premature mortality", US_national_yearly!$D:$AM, 17, FALSE) / VLOOKUP("electricity|PM25|Premature mortality", US_national_yearly!$D:$AM, 10, FALSE), 1)</f>
        <v>1.448973826542378E-2</v>
      </c>
      <c r="J2" s="7">
        <f>$B2 * IFERROR(VLOOKUP("electricity|PM25|Premature mortality", US_national_yearly!$D:$AM, 18, FALSE) / VLOOKUP("electricity|PM25|Premature mortality", US_national_yearly!$D:$AM, 10, FALSE), 1)</f>
        <v>1.4702241569445038E-2</v>
      </c>
      <c r="K2" s="7">
        <f>$B2 * IFERROR(VLOOKUP("electricity|PM25|Premature mortality", US_national_yearly!$D:$AM, 19, FALSE) / VLOOKUP("electricity|PM25|Premature mortality", US_national_yearly!$D:$AM, 10, FALSE), 1)</f>
        <v>1.4914744873466291E-2</v>
      </c>
      <c r="L2" s="7">
        <f>$B2 * IFERROR(VLOOKUP("electricity|PM25|Premature mortality", US_national_yearly!$D:$AM, 20, FALSE) / VLOOKUP("electricity|PM25|Premature mortality", US_national_yearly!$D:$AM, 10, FALSE), 1)</f>
        <v>1.5127248177487548E-2</v>
      </c>
      <c r="M2" s="7">
        <f>$B2 * IFERROR(VLOOKUP("electricity|PM25|Premature mortality", US_national_yearly!$D:$AM, 21, FALSE) / VLOOKUP("electricity|PM25|Premature mortality", US_national_yearly!$D:$AM, 10, FALSE), 1)</f>
        <v>1.5339751481508802E-2</v>
      </c>
      <c r="N2" s="7">
        <f>$B2 * IFERROR(VLOOKUP("electricity|PM25|Premature mortality", US_national_yearly!$D:$AM, 22, FALSE) / VLOOKUP("electricity|PM25|Premature mortality", US_national_yearly!$D:$AM, 10, FALSE), 1)</f>
        <v>1.5509140673694201E-2</v>
      </c>
      <c r="O2" s="7">
        <f>$B2 * IFERROR(VLOOKUP("electricity|PM25|Premature mortality", US_national_yearly!$D:$AM, 23, FALSE) / VLOOKUP("electricity|PM25|Premature mortality", US_national_yearly!$D:$AM, 10, FALSE), 1)</f>
        <v>1.5678529865879597E-2</v>
      </c>
      <c r="P2" s="7">
        <f>$B2 * IFERROR(VLOOKUP("electricity|PM25|Premature mortality", US_national_yearly!$D:$AM, 24, FALSE) / VLOOKUP("electricity|PM25|Premature mortality", US_national_yearly!$D:$AM, 10, FALSE), 1)</f>
        <v>1.5847919058064996E-2</v>
      </c>
      <c r="Q2" s="7">
        <f>$B2 * IFERROR(VLOOKUP("electricity|PM25|Premature mortality", US_national_yearly!$D:$AM, 25, FALSE) / VLOOKUP("electricity|PM25|Premature mortality", US_national_yearly!$D:$AM, 10, FALSE), 1)</f>
        <v>1.6017308250250391E-2</v>
      </c>
      <c r="R2" s="7">
        <f>$B2 * IFERROR(VLOOKUP("electricity|PM25|Premature mortality", US_national_yearly!$D:$AM, 26, FALSE) / VLOOKUP("electricity|PM25|Premature mortality", US_national_yearly!$D:$AM, 10, FALSE), 1)</f>
        <v>1.6186697442435789E-2</v>
      </c>
      <c r="S2" s="7">
        <f>$B2 * IFERROR(VLOOKUP("electricity|PM25|Premature mortality", US_national_yearly!$D:$AM, 27, FALSE) / VLOOKUP("electricity|PM25|Premature mortality", US_national_yearly!$D:$AM, 10, FALSE), 1)</f>
        <v>1.6283622846087684E-2</v>
      </c>
      <c r="T2" s="7">
        <f>$B2 * IFERROR(VLOOKUP("electricity|PM25|Premature mortality", US_national_yearly!$D:$AM, 28, FALSE) / VLOOKUP("electricity|PM25|Premature mortality", US_national_yearly!$D:$AM, 10, FALSE), 1)</f>
        <v>1.6380548249739578E-2</v>
      </c>
      <c r="U2" s="7">
        <f>$B2 * IFERROR(VLOOKUP("electricity|PM25|Premature mortality", US_national_yearly!$D:$AM, 29, FALSE) / VLOOKUP("electricity|PM25|Premature mortality", US_national_yearly!$D:$AM, 10, FALSE), 1)</f>
        <v>1.6477473653391476E-2</v>
      </c>
      <c r="V2" s="7">
        <f>$B2 * IFERROR(VLOOKUP("electricity|PM25|Premature mortality", US_national_yearly!$D:$AM, 30, FALSE) / VLOOKUP("electricity|PM25|Premature mortality", US_national_yearly!$D:$AM, 10, FALSE), 1)</f>
        <v>1.6574399057043367E-2</v>
      </c>
      <c r="W2" s="7">
        <f>$B2 * IFERROR(VLOOKUP("electricity|PM25|Premature mortality", US_national_yearly!$D:$AM, 31, FALSE) / VLOOKUP("electricity|PM25|Premature mortality", US_national_yearly!$D:$AM, 10, FALSE), 1)</f>
        <v>1.6671324460695261E-2</v>
      </c>
      <c r="X2" s="7">
        <f>$B2 * IFERROR(VLOOKUP("electricity|PM25|Premature mortality", US_national_yearly!$D:$AM, 32, FALSE) / VLOOKUP("electricity|PM25|Premature mortality", US_national_yearly!$D:$AM, 10, FALSE), 1)</f>
        <v>1.6698249711149572E-2</v>
      </c>
      <c r="Y2" s="7">
        <f>$B2 * IFERROR(VLOOKUP("electricity|PM25|Premature mortality", US_national_yearly!$D:$AM, 33, FALSE) / VLOOKUP("electricity|PM25|Premature mortality", US_national_yearly!$D:$AM, 10, FALSE), 1)</f>
        <v>1.6725174961603882E-2</v>
      </c>
      <c r="Z2" s="7">
        <f>$B2 * IFERROR(VLOOKUP("electricity|PM25|Premature mortality", US_national_yearly!$D:$AM, 34, FALSE) / VLOOKUP("electricity|PM25|Premature mortality", US_national_yearly!$D:$AM, 10, FALSE), 1)</f>
        <v>1.6752100212058193E-2</v>
      </c>
      <c r="AA2" s="7">
        <f>$B2 * IFERROR(VLOOKUP("electricity|PM25|Premature mortality", US_national_yearly!$D:$AM, 35, FALSE) / VLOOKUP("electricity|PM25|Premature mortality", US_national_yearly!$D:$AM, 10, FALSE), 1)</f>
        <v>1.6779025462512507E-2</v>
      </c>
      <c r="AB2" s="7">
        <f>$B2 * IFERROR(VLOOKUP("electricity|PM25|Premature mortality", US_national_yearly!$D:$AM, 36, FALSE) / VLOOKUP("electricity|PM25|Premature mortality", US_national_yearly!$D:$AM, 10, FALSE), 1)</f>
        <v>1.6805950712966818E-2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4.6397527951207305E-5</v>
      </c>
      <c r="C3" s="7">
        <f>$B3 * IFERROR(VLOOKUP("electricity|PM25|Infant mortality", US_national_yearly!$D:$AM, 11, FALSE) / VLOOKUP("electricity|PM25|Infant mortality", US_national_yearly!$D:$AM, 10, FALSE), 1)</f>
        <v>4.5993266407038755E-5</v>
      </c>
      <c r="D3" s="7">
        <f>$B3 * IFERROR(VLOOKUP("electricity|PM25|Infant mortality", US_national_yearly!$D:$AM, 12, FALSE) / VLOOKUP("electricity|PM25|Infant mortality", US_national_yearly!$D:$AM, 10, FALSE), 1)</f>
        <v>4.5589004862870218E-5</v>
      </c>
      <c r="E3" s="7">
        <f>$B3 * IFERROR(VLOOKUP("electricity|PM25|Infant mortality", US_national_yearly!$D:$AM, 13, FALSE) / VLOOKUP("electricity|PM25|Infant mortality", US_national_yearly!$D:$AM, 10, FALSE), 1)</f>
        <v>4.5184743318701675E-5</v>
      </c>
      <c r="F3" s="7">
        <f>$B3 * IFERROR(VLOOKUP("electricity|PM25|Infant mortality", US_national_yearly!$D:$AM, 14, FALSE) / VLOOKUP("electricity|PM25|Infant mortality", US_national_yearly!$D:$AM, 10, FALSE), 1)</f>
        <v>4.4780481774533125E-5</v>
      </c>
      <c r="G3" s="7">
        <f>$B3 * IFERROR(VLOOKUP("electricity|PM25|Infant mortality", US_national_yearly!$D:$AM, 15, FALSE) / VLOOKUP("electricity|PM25|Infant mortality", US_national_yearly!$D:$AM, 10, FALSE), 1)</f>
        <v>2.9697019776199816E-5</v>
      </c>
      <c r="H3" s="7">
        <f>$B3 * IFERROR(VLOOKUP("electricity|PM25|Infant mortality", US_national_yearly!$D:$AM, 16, FALSE) / VLOOKUP("electricity|PM25|Infant mortality", US_national_yearly!$D:$AM, 10, FALSE), 1)</f>
        <v>1.4613557777866511E-5</v>
      </c>
      <c r="I3" s="7">
        <f>$B3 * IFERROR(VLOOKUP("electricity|PM25|Infant mortality", US_national_yearly!$D:$AM, 17, FALSE) / VLOOKUP("electricity|PM25|Infant mortality", US_national_yearly!$D:$AM, 10, FALSE), 1)</f>
        <v>1.4510379363666962E-5</v>
      </c>
      <c r="J3" s="7">
        <f>$B3 * IFERROR(VLOOKUP("electricity|PM25|Infant mortality", US_national_yearly!$D:$AM, 18, FALSE) / VLOOKUP("electricity|PM25|Infant mortality", US_national_yearly!$D:$AM, 10, FALSE), 1)</f>
        <v>1.440720094946742E-5</v>
      </c>
      <c r="K3" s="7">
        <f>$B3 * IFERROR(VLOOKUP("electricity|PM25|Infant mortality", US_national_yearly!$D:$AM, 19, FALSE) / VLOOKUP("electricity|PM25|Infant mortality", US_national_yearly!$D:$AM, 10, FALSE), 1)</f>
        <v>1.4304022535267872E-5</v>
      </c>
      <c r="L3" s="7">
        <f>$B3 * IFERROR(VLOOKUP("electricity|PM25|Infant mortality", US_national_yearly!$D:$AM, 20, FALSE) / VLOOKUP("electricity|PM25|Infant mortality", US_national_yearly!$D:$AM, 10, FALSE), 1)</f>
        <v>1.4200844121068327E-5</v>
      </c>
      <c r="M3" s="7">
        <f>$B3 * IFERROR(VLOOKUP("electricity|PM25|Infant mortality", US_national_yearly!$D:$AM, 21, FALSE) / VLOOKUP("electricity|PM25|Infant mortality", US_national_yearly!$D:$AM, 10, FALSE), 1)</f>
        <v>1.4097665706868783E-5</v>
      </c>
      <c r="N3" s="7">
        <f>$B3 * IFERROR(VLOOKUP("electricity|PM25|Infant mortality", US_national_yearly!$D:$AM, 22, FALSE) / VLOOKUP("electricity|PM25|Infant mortality", US_national_yearly!$D:$AM, 10, FALSE), 1)</f>
        <v>1.403130828777835E-5</v>
      </c>
      <c r="O3" s="7">
        <f>$B3 * IFERROR(VLOOKUP("electricity|PM25|Infant mortality", US_national_yearly!$D:$AM, 23, FALSE) / VLOOKUP("electricity|PM25|Infant mortality", US_national_yearly!$D:$AM, 10, FALSE), 1)</f>
        <v>1.396495086868792E-5</v>
      </c>
      <c r="P3" s="7">
        <f>$B3 * IFERROR(VLOOKUP("electricity|PM25|Infant mortality", US_national_yearly!$D:$AM, 24, FALSE) / VLOOKUP("electricity|PM25|Infant mortality", US_national_yearly!$D:$AM, 10, FALSE), 1)</f>
        <v>1.3898593449597486E-5</v>
      </c>
      <c r="Q3" s="7">
        <f>$B3 * IFERROR(VLOOKUP("electricity|PM25|Infant mortality", US_national_yearly!$D:$AM, 25, FALSE) / VLOOKUP("electricity|PM25|Infant mortality", US_national_yearly!$D:$AM, 10, FALSE), 1)</f>
        <v>1.3832236030507055E-5</v>
      </c>
      <c r="R3" s="7">
        <f>$B3 * IFERROR(VLOOKUP("electricity|PM25|Infant mortality", US_national_yearly!$D:$AM, 26, FALSE) / VLOOKUP("electricity|PM25|Infant mortality", US_national_yearly!$D:$AM, 10, FALSE), 1)</f>
        <v>1.3765878611416621E-5</v>
      </c>
      <c r="S3" s="7">
        <f>$B3 * IFERROR(VLOOKUP("electricity|PM25|Infant mortality", US_national_yearly!$D:$AM, 27, FALSE) / VLOOKUP("electricity|PM25|Infant mortality", US_national_yearly!$D:$AM, 10, FALSE), 1)</f>
        <v>1.3686380940489081E-5</v>
      </c>
      <c r="T3" s="7">
        <f>$B3 * IFERROR(VLOOKUP("electricity|PM25|Infant mortality", US_national_yearly!$D:$AM, 28, FALSE) / VLOOKUP("electricity|PM25|Infant mortality", US_national_yearly!$D:$AM, 10, FALSE), 1)</f>
        <v>1.3606883269561541E-5</v>
      </c>
      <c r="U3" s="7">
        <f>$B3 * IFERROR(VLOOKUP("electricity|PM25|Infant mortality", US_national_yearly!$D:$AM, 29, FALSE) / VLOOKUP("electricity|PM25|Infant mortality", US_national_yearly!$D:$AM, 10, FALSE), 1)</f>
        <v>1.3527385598634002E-5</v>
      </c>
      <c r="V3" s="7">
        <f>$B3 * IFERROR(VLOOKUP("electricity|PM25|Infant mortality", US_national_yearly!$D:$AM, 30, FALSE) / VLOOKUP("electricity|PM25|Infant mortality", US_national_yearly!$D:$AM, 10, FALSE), 1)</f>
        <v>1.3447887927706462E-5</v>
      </c>
      <c r="W3" s="7">
        <f>$B3 * IFERROR(VLOOKUP("electricity|PM25|Infant mortality", US_national_yearly!$D:$AM, 31, FALSE) / VLOOKUP("electricity|PM25|Infant mortality", US_national_yearly!$D:$AM, 10, FALSE), 1)</f>
        <v>1.3368390256778922E-5</v>
      </c>
      <c r="X3" s="7">
        <f>$B3 * IFERROR(VLOOKUP("electricity|PM25|Infant mortality", US_national_yearly!$D:$AM, 32, FALSE) / VLOOKUP("electricity|PM25|Infant mortality", US_national_yearly!$D:$AM, 10, FALSE), 1)</f>
        <v>1.3286239339613215E-5</v>
      </c>
      <c r="Y3" s="7">
        <f>$B3 * IFERROR(VLOOKUP("electricity|PM25|Infant mortality", US_national_yearly!$D:$AM, 33, FALSE) / VLOOKUP("electricity|PM25|Infant mortality", US_national_yearly!$D:$AM, 10, FALSE), 1)</f>
        <v>1.3204088422447508E-5</v>
      </c>
      <c r="Z3" s="7">
        <f>$B3 * IFERROR(VLOOKUP("electricity|PM25|Infant mortality", US_national_yearly!$D:$AM, 34, FALSE) / VLOOKUP("electricity|PM25|Infant mortality", US_national_yearly!$D:$AM, 10, FALSE), 1)</f>
        <v>1.3121937505281801E-5</v>
      </c>
      <c r="AA3" s="7">
        <f>$B3 * IFERROR(VLOOKUP("electricity|PM25|Infant mortality", US_national_yearly!$D:$AM, 35, FALSE) / VLOOKUP("electricity|PM25|Infant mortality", US_national_yearly!$D:$AM, 10, FALSE), 1)</f>
        <v>1.3039786588116095E-5</v>
      </c>
      <c r="AB3" s="7">
        <f>$B3 * IFERROR(VLOOKUP("electricity|PM25|Infant mortality", US_national_yearly!$D:$AM, 36, FALSE) / VLOOKUP("electricity|PM25|Infant mortality", US_national_yearly!$D:$AM, 10, FALSE), 1)</f>
        <v>1.2957635670950388E-5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4.7302237929957587E-2</v>
      </c>
      <c r="C6" s="7">
        <f>$B6 * IFERROR(VLOOKUP("electricity|PM25|Asthma symptoms cough", US_national_yearly!$D:$AM, 11, FALSE) / VLOOKUP("electricity|PM25|Asthma symptoms cough", US_national_yearly!$D:$AM, 10, FALSE), 1)</f>
        <v>4.7302237929957587E-2</v>
      </c>
      <c r="D6" s="7">
        <f>$B6 * IFERROR(VLOOKUP("electricity|PM25|Asthma symptoms cough", US_national_yearly!$D:$AM, 12, FALSE) / VLOOKUP("electricity|PM25|Asthma symptoms cough", US_national_yearly!$D:$AM, 10, FALSE), 1)</f>
        <v>4.7302237929957587E-2</v>
      </c>
      <c r="E6" s="7">
        <f>$B6 * IFERROR(VLOOKUP("electricity|PM25|Asthma symptoms cough", US_national_yearly!$D:$AM, 13, FALSE) / VLOOKUP("electricity|PM25|Asthma symptoms cough", US_national_yearly!$D:$AM, 10, FALSE), 1)</f>
        <v>4.7302237929957587E-2</v>
      </c>
      <c r="F6" s="7">
        <f>$B6 * IFERROR(VLOOKUP("electricity|PM25|Asthma symptoms cough", US_national_yearly!$D:$AM, 14, FALSE) / VLOOKUP("electricity|PM25|Asthma symptoms cough", US_national_yearly!$D:$AM, 10, FALSE), 1)</f>
        <v>4.7302237929957587E-2</v>
      </c>
      <c r="G6" s="7">
        <f>$B6 * IFERROR(VLOOKUP("electricity|PM25|Asthma symptoms cough", US_national_yearly!$D:$AM, 15, FALSE) / VLOOKUP("electricity|PM25|Asthma symptoms cough", US_national_yearly!$D:$AM, 10, FALSE), 1)</f>
        <v>4.7302237929957587E-2</v>
      </c>
      <c r="H6" s="7">
        <f>$B6 * IFERROR(VLOOKUP("electricity|PM25|Asthma symptoms cough", US_national_yearly!$D:$AM, 16, FALSE) / VLOOKUP("electricity|PM25|Asthma symptoms cough", US_national_yearly!$D:$AM, 10, FALSE), 1)</f>
        <v>4.7302237929957587E-2</v>
      </c>
      <c r="I6" s="7">
        <f>$B6 * IFERROR(VLOOKUP("electricity|PM25|Asthma symptoms cough", US_national_yearly!$D:$AM, 17, FALSE) / VLOOKUP("electricity|PM25|Asthma symptoms cough", US_national_yearly!$D:$AM, 10, FALSE), 1)</f>
        <v>4.7302237929957587E-2</v>
      </c>
      <c r="J6" s="7">
        <f>$B6 * IFERROR(VLOOKUP("electricity|PM25|Asthma symptoms cough", US_national_yearly!$D:$AM, 18, FALSE) / VLOOKUP("electricity|PM25|Asthma symptoms cough", US_national_yearly!$D:$AM, 10, FALSE), 1)</f>
        <v>4.7302237929957587E-2</v>
      </c>
      <c r="K6" s="7">
        <f>$B6 * IFERROR(VLOOKUP("electricity|PM25|Asthma symptoms cough", US_national_yearly!$D:$AM, 19, FALSE) / VLOOKUP("electricity|PM25|Asthma symptoms cough", US_national_yearly!$D:$AM, 10, FALSE), 1)</f>
        <v>4.7302237929957587E-2</v>
      </c>
      <c r="L6" s="7">
        <f>$B6 * IFERROR(VLOOKUP("electricity|PM25|Asthma symptoms cough", US_national_yearly!$D:$AM, 20, FALSE) / VLOOKUP("electricity|PM25|Asthma symptoms cough", US_national_yearly!$D:$AM, 10, FALSE), 1)</f>
        <v>4.7302237929957587E-2</v>
      </c>
      <c r="M6" s="7">
        <f>$B6 * IFERROR(VLOOKUP("electricity|PM25|Asthma symptoms cough", US_national_yearly!$D:$AM, 21, FALSE) / VLOOKUP("electricity|PM25|Asthma symptoms cough", US_national_yearly!$D:$AM, 10, FALSE), 1)</f>
        <v>4.7302237929957587E-2</v>
      </c>
      <c r="N6" s="7">
        <f>$B6 * IFERROR(VLOOKUP("electricity|PM25|Asthma symptoms cough", US_national_yearly!$D:$AM, 22, FALSE) / VLOOKUP("electricity|PM25|Asthma symptoms cough", US_national_yearly!$D:$AM, 10, FALSE), 1)</f>
        <v>4.7302237929957587E-2</v>
      </c>
      <c r="O6" s="7">
        <f>$B6 * IFERROR(VLOOKUP("electricity|PM25|Asthma symptoms cough", US_national_yearly!$D:$AM, 23, FALSE) / VLOOKUP("electricity|PM25|Asthma symptoms cough", US_national_yearly!$D:$AM, 10, FALSE), 1)</f>
        <v>4.7302237929957587E-2</v>
      </c>
      <c r="P6" s="7">
        <f>$B6 * IFERROR(VLOOKUP("electricity|PM25|Asthma symptoms cough", US_national_yearly!$D:$AM, 24, FALSE) / VLOOKUP("electricity|PM25|Asthma symptoms cough", US_national_yearly!$D:$AM, 10, FALSE), 1)</f>
        <v>4.7302237929957587E-2</v>
      </c>
      <c r="Q6" s="7">
        <f>$B6 * IFERROR(VLOOKUP("electricity|PM25|Asthma symptoms cough", US_national_yearly!$D:$AM, 25, FALSE) / VLOOKUP("electricity|PM25|Asthma symptoms cough", US_national_yearly!$D:$AM, 10, FALSE), 1)</f>
        <v>4.7302237929957587E-2</v>
      </c>
      <c r="R6" s="7">
        <f>$B6 * IFERROR(VLOOKUP("electricity|PM25|Asthma symptoms cough", US_national_yearly!$D:$AM, 26, FALSE) / VLOOKUP("electricity|PM25|Asthma symptoms cough", US_national_yearly!$D:$AM, 10, FALSE), 1)</f>
        <v>4.7302237929957587E-2</v>
      </c>
      <c r="S6" s="7">
        <f>$B6 * IFERROR(VLOOKUP("electricity|PM25|Asthma symptoms cough", US_national_yearly!$D:$AM, 27, FALSE) / VLOOKUP("electricity|PM25|Asthma symptoms cough", US_national_yearly!$D:$AM, 10, FALSE), 1)</f>
        <v>4.7302237929957587E-2</v>
      </c>
      <c r="T6" s="7">
        <f>$B6 * IFERROR(VLOOKUP("electricity|PM25|Asthma symptoms cough", US_national_yearly!$D:$AM, 28, FALSE) / VLOOKUP("electricity|PM25|Asthma symptoms cough", US_national_yearly!$D:$AM, 10, FALSE), 1)</f>
        <v>4.7302237929957587E-2</v>
      </c>
      <c r="U6" s="7">
        <f>$B6 * IFERROR(VLOOKUP("electricity|PM25|Asthma symptoms cough", US_national_yearly!$D:$AM, 29, FALSE) / VLOOKUP("electricity|PM25|Asthma symptoms cough", US_national_yearly!$D:$AM, 10, FALSE), 1)</f>
        <v>4.7302237929957587E-2</v>
      </c>
      <c r="V6" s="7">
        <f>$B6 * IFERROR(VLOOKUP("electricity|PM25|Asthma symptoms cough", US_national_yearly!$D:$AM, 30, FALSE) / VLOOKUP("electricity|PM25|Asthma symptoms cough", US_national_yearly!$D:$AM, 10, FALSE), 1)</f>
        <v>4.7302237929957587E-2</v>
      </c>
      <c r="W6" s="7">
        <f>$B6 * IFERROR(VLOOKUP("electricity|PM25|Asthma symptoms cough", US_national_yearly!$D:$AM, 31, FALSE) / VLOOKUP("electricity|PM25|Asthma symptoms cough", US_national_yearly!$D:$AM, 10, FALSE), 1)</f>
        <v>4.7302237929957587E-2</v>
      </c>
      <c r="X6" s="7">
        <f>$B6 * IFERROR(VLOOKUP("electricity|PM25|Asthma symptoms cough", US_national_yearly!$D:$AM, 32, FALSE) / VLOOKUP("electricity|PM25|Asthma symptoms cough", US_national_yearly!$D:$AM, 10, FALSE), 1)</f>
        <v>4.7302237929957587E-2</v>
      </c>
      <c r="Y6" s="7">
        <f>$B6 * IFERROR(VLOOKUP("electricity|PM25|Asthma symptoms cough", US_national_yearly!$D:$AM, 33, FALSE) / VLOOKUP("electricity|PM25|Asthma symptoms cough", US_national_yearly!$D:$AM, 10, FALSE), 1)</f>
        <v>4.7302237929957587E-2</v>
      </c>
      <c r="Z6" s="7">
        <f>$B6 * IFERROR(VLOOKUP("electricity|PM25|Asthma symptoms cough", US_national_yearly!$D:$AM, 34, FALSE) / VLOOKUP("electricity|PM25|Asthma symptoms cough", US_national_yearly!$D:$AM, 10, FALSE), 1)</f>
        <v>4.7302237929957587E-2</v>
      </c>
      <c r="AA6" s="7">
        <f>$B6 * IFERROR(VLOOKUP("electricity|PM25|Asthma symptoms cough", US_national_yearly!$D:$AM, 35, FALSE) / VLOOKUP("electricity|PM25|Asthma symptoms cough", US_national_yearly!$D:$AM, 10, FALSE), 1)</f>
        <v>4.7302237929957587E-2</v>
      </c>
      <c r="AB6" s="7">
        <f>$B6 * IFERROR(VLOOKUP("electricity|PM25|Asthma symptoms cough", US_national_yearly!$D:$AM, 36, FALSE) / VLOOKUP("electricity|PM25|Asthma symptoms cough", US_national_yearly!$D:$AM, 10, FALSE), 1)</f>
        <v>4.7302237929957587E-2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6.3698814382260535E-2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6.3698814382260535E-2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6.3698814382260535E-2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6.3698814382260535E-2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6.3698814382260535E-2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6.3698814382260535E-2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6.3698814382260535E-2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6.3698814382260535E-2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6.3698814382260535E-2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6.3698814382260535E-2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6.3698814382260535E-2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6.3698814382260535E-2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6.3698814382260535E-2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6.3698814382260535E-2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6.3698814382260535E-2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6.3698814382260535E-2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6.3698814382260535E-2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6.3698814382260535E-2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6.3698814382260535E-2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6.3698814382260535E-2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6.3698814382260535E-2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6.3698814382260535E-2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6.3698814382260535E-2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6.3698814382260535E-2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6.3698814382260535E-2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6.3698814382260535E-2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6.3698814382260535E-2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9.7322821763046768E-2</v>
      </c>
      <c r="C8" s="7">
        <f>$B8 * IFERROR(VLOOKUP("electricity|PM25|Asthma symptoms wheeze", US_national_yearly!$D:$AM, 11, FALSE) / VLOOKUP("electricity|PM25|Asthma symptoms wheeze", US_national_yearly!$D:$AM, 10, FALSE), 1)</f>
        <v>9.7322821763046768E-2</v>
      </c>
      <c r="D8" s="7">
        <f>$B8 * IFERROR(VLOOKUP("electricity|PM25|Asthma symptoms wheeze", US_national_yearly!$D:$AM, 12, FALSE) / VLOOKUP("electricity|PM25|Asthma symptoms wheeze", US_national_yearly!$D:$AM, 10, FALSE), 1)</f>
        <v>9.7322821763046768E-2</v>
      </c>
      <c r="E8" s="7">
        <f>$B8 * IFERROR(VLOOKUP("electricity|PM25|Asthma symptoms wheeze", US_national_yearly!$D:$AM, 13, FALSE) / VLOOKUP("electricity|PM25|Asthma symptoms wheeze", US_national_yearly!$D:$AM, 10, FALSE), 1)</f>
        <v>9.7322821763046768E-2</v>
      </c>
      <c r="F8" s="7">
        <f>$B8 * IFERROR(VLOOKUP("electricity|PM25|Asthma symptoms wheeze", US_national_yearly!$D:$AM, 14, FALSE) / VLOOKUP("electricity|PM25|Asthma symptoms wheeze", US_national_yearly!$D:$AM, 10, FALSE), 1)</f>
        <v>9.7322821763046768E-2</v>
      </c>
      <c r="G8" s="7">
        <f>$B8 * IFERROR(VLOOKUP("electricity|PM25|Asthma symptoms wheeze", US_national_yearly!$D:$AM, 15, FALSE) / VLOOKUP("electricity|PM25|Asthma symptoms wheeze", US_national_yearly!$D:$AM, 10, FALSE), 1)</f>
        <v>9.7322821763046768E-2</v>
      </c>
      <c r="H8" s="7">
        <f>$B8 * IFERROR(VLOOKUP("electricity|PM25|Asthma symptoms wheeze", US_national_yearly!$D:$AM, 16, FALSE) / VLOOKUP("electricity|PM25|Asthma symptoms wheeze", US_national_yearly!$D:$AM, 10, FALSE), 1)</f>
        <v>9.7322821763046768E-2</v>
      </c>
      <c r="I8" s="7">
        <f>$B8 * IFERROR(VLOOKUP("electricity|PM25|Asthma symptoms wheeze", US_national_yearly!$D:$AM, 17, FALSE) / VLOOKUP("electricity|PM25|Asthma symptoms wheeze", US_national_yearly!$D:$AM, 10, FALSE), 1)</f>
        <v>9.7322821763046768E-2</v>
      </c>
      <c r="J8" s="7">
        <f>$B8 * IFERROR(VLOOKUP("electricity|PM25|Asthma symptoms wheeze", US_national_yearly!$D:$AM, 18, FALSE) / VLOOKUP("electricity|PM25|Asthma symptoms wheeze", US_national_yearly!$D:$AM, 10, FALSE), 1)</f>
        <v>9.7322821763046768E-2</v>
      </c>
      <c r="K8" s="7">
        <f>$B8 * IFERROR(VLOOKUP("electricity|PM25|Asthma symptoms wheeze", US_national_yearly!$D:$AM, 19, FALSE) / VLOOKUP("electricity|PM25|Asthma symptoms wheeze", US_national_yearly!$D:$AM, 10, FALSE), 1)</f>
        <v>9.7322821763046768E-2</v>
      </c>
      <c r="L8" s="7">
        <f>$B8 * IFERROR(VLOOKUP("electricity|PM25|Asthma symptoms wheeze", US_national_yearly!$D:$AM, 20, FALSE) / VLOOKUP("electricity|PM25|Asthma symptoms wheeze", US_national_yearly!$D:$AM, 10, FALSE), 1)</f>
        <v>9.7322821763046768E-2</v>
      </c>
      <c r="M8" s="7">
        <f>$B8 * IFERROR(VLOOKUP("electricity|PM25|Asthma symptoms wheeze", US_national_yearly!$D:$AM, 21, FALSE) / VLOOKUP("electricity|PM25|Asthma symptoms wheeze", US_national_yearly!$D:$AM, 10, FALSE), 1)</f>
        <v>9.7322821763046768E-2</v>
      </c>
      <c r="N8" s="7">
        <f>$B8 * IFERROR(VLOOKUP("electricity|PM25|Asthma symptoms wheeze", US_national_yearly!$D:$AM, 22, FALSE) / VLOOKUP("electricity|PM25|Asthma symptoms wheeze", US_national_yearly!$D:$AM, 10, FALSE), 1)</f>
        <v>9.7322821763046768E-2</v>
      </c>
      <c r="O8" s="7">
        <f>$B8 * IFERROR(VLOOKUP("electricity|PM25|Asthma symptoms wheeze", US_national_yearly!$D:$AM, 23, FALSE) / VLOOKUP("electricity|PM25|Asthma symptoms wheeze", US_national_yearly!$D:$AM, 10, FALSE), 1)</f>
        <v>9.7322821763046768E-2</v>
      </c>
      <c r="P8" s="7">
        <f>$B8 * IFERROR(VLOOKUP("electricity|PM25|Asthma symptoms wheeze", US_national_yearly!$D:$AM, 24, FALSE) / VLOOKUP("electricity|PM25|Asthma symptoms wheeze", US_national_yearly!$D:$AM, 10, FALSE), 1)</f>
        <v>9.7322821763046768E-2</v>
      </c>
      <c r="Q8" s="7">
        <f>$B8 * IFERROR(VLOOKUP("electricity|PM25|Asthma symptoms wheeze", US_national_yearly!$D:$AM, 25, FALSE) / VLOOKUP("electricity|PM25|Asthma symptoms wheeze", US_national_yearly!$D:$AM, 10, FALSE), 1)</f>
        <v>9.7322821763046768E-2</v>
      </c>
      <c r="R8" s="7">
        <f>$B8 * IFERROR(VLOOKUP("electricity|PM25|Asthma symptoms wheeze", US_national_yearly!$D:$AM, 26, FALSE) / VLOOKUP("electricity|PM25|Asthma symptoms wheeze", US_national_yearly!$D:$AM, 10, FALSE), 1)</f>
        <v>9.7322821763046768E-2</v>
      </c>
      <c r="S8" s="7">
        <f>$B8 * IFERROR(VLOOKUP("electricity|PM25|Asthma symptoms wheeze", US_national_yearly!$D:$AM, 27, FALSE) / VLOOKUP("electricity|PM25|Asthma symptoms wheeze", US_national_yearly!$D:$AM, 10, FALSE), 1)</f>
        <v>9.7322821763046768E-2</v>
      </c>
      <c r="T8" s="7">
        <f>$B8 * IFERROR(VLOOKUP("electricity|PM25|Asthma symptoms wheeze", US_national_yearly!$D:$AM, 28, FALSE) / VLOOKUP("electricity|PM25|Asthma symptoms wheeze", US_national_yearly!$D:$AM, 10, FALSE), 1)</f>
        <v>9.7322821763046768E-2</v>
      </c>
      <c r="U8" s="7">
        <f>$B8 * IFERROR(VLOOKUP("electricity|PM25|Asthma symptoms wheeze", US_national_yearly!$D:$AM, 29, FALSE) / VLOOKUP("electricity|PM25|Asthma symptoms wheeze", US_national_yearly!$D:$AM, 10, FALSE), 1)</f>
        <v>9.7322821763046768E-2</v>
      </c>
      <c r="V8" s="7">
        <f>$B8 * IFERROR(VLOOKUP("electricity|PM25|Asthma symptoms wheeze", US_national_yearly!$D:$AM, 30, FALSE) / VLOOKUP("electricity|PM25|Asthma symptoms wheeze", US_national_yearly!$D:$AM, 10, FALSE), 1)</f>
        <v>9.7322821763046768E-2</v>
      </c>
      <c r="W8" s="7">
        <f>$B8 * IFERROR(VLOOKUP("electricity|PM25|Asthma symptoms wheeze", US_national_yearly!$D:$AM, 31, FALSE) / VLOOKUP("electricity|PM25|Asthma symptoms wheeze", US_national_yearly!$D:$AM, 10, FALSE), 1)</f>
        <v>9.7322821763046768E-2</v>
      </c>
      <c r="X8" s="7">
        <f>$B8 * IFERROR(VLOOKUP("electricity|PM25|Asthma symptoms wheeze", US_national_yearly!$D:$AM, 32, FALSE) / VLOOKUP("electricity|PM25|Asthma symptoms wheeze", US_national_yearly!$D:$AM, 10, FALSE), 1)</f>
        <v>9.7322821763046768E-2</v>
      </c>
      <c r="Y8" s="7">
        <f>$B8 * IFERROR(VLOOKUP("electricity|PM25|Asthma symptoms wheeze", US_national_yearly!$D:$AM, 33, FALSE) / VLOOKUP("electricity|PM25|Asthma symptoms wheeze", US_national_yearly!$D:$AM, 10, FALSE), 1)</f>
        <v>9.7322821763046768E-2</v>
      </c>
      <c r="Z8" s="7">
        <f>$B8 * IFERROR(VLOOKUP("electricity|PM25|Asthma symptoms wheeze", US_national_yearly!$D:$AM, 34, FALSE) / VLOOKUP("electricity|PM25|Asthma symptoms wheeze", US_national_yearly!$D:$AM, 10, FALSE), 1)</f>
        <v>9.7322821763046768E-2</v>
      </c>
      <c r="AA8" s="7">
        <f>$B8 * IFERROR(VLOOKUP("electricity|PM25|Asthma symptoms wheeze", US_national_yearly!$D:$AM, 35, FALSE) / VLOOKUP("electricity|PM25|Asthma symptoms wheeze", US_national_yearly!$D:$AM, 10, FALSE), 1)</f>
        <v>9.7322821763046768E-2</v>
      </c>
      <c r="AB8" s="7">
        <f>$B8 * IFERROR(VLOOKUP("electricity|PM25|Asthma symptoms wheeze", US_national_yearly!$D:$AM, 36, FALSE) / VLOOKUP("electricity|PM25|Asthma symptoms wheeze", US_national_yearly!$D:$AM, 10, FALSE), 1)</f>
        <v>9.7322821763046768E-2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9.7349825195185992E-4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9.7884847982940434E-4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9.8419870770694831E-4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9.8954893558449294E-4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9.9489916346203692E-4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1.00063447623431E-3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1.0063697890065832E-3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1.011493705055246E-3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1.0166176211039088E-3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1.0217415371525714E-3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1.026865453201234E-3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1.0319893692498968E-3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1.0354456325715447E-3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1.038901895893193E-3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1.0423581592148411E-3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1.045814422536489E-3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1.0492706858581374E-3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1.052491439909112E-3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1.0557121939600862E-3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1.0589329480110608E-3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1.0621537020620352E-3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1.0653744561130093E-3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1.0685591685235126E-3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1.0717438809340156E-3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1.0749285933445187E-3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1.0781133057550217E-3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1.0812980181655249E-3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5.9527507192431188E-3</v>
      </c>
      <c r="C13" s="7">
        <f>$B13 * IFERROR(VLOOKUP("electricity|PM25|Non-fatal heart attacks", US_national_yearly!$D:$AM, 11, FALSE) / VLOOKUP("electricity|PM25|Non-fatal heart attacks", US_national_yearly!$D:$AM, 10, FALSE), 1)</f>
        <v>6.1251710831793649E-3</v>
      </c>
      <c r="D13" s="7">
        <f>$B13 * IFERROR(VLOOKUP("electricity|PM25|Non-fatal heart attacks", US_national_yearly!$D:$AM, 12, FALSE) / VLOOKUP("electricity|PM25|Non-fatal heart attacks", US_national_yearly!$D:$AM, 10, FALSE), 1)</f>
        <v>6.297591447115611E-3</v>
      </c>
      <c r="E13" s="7">
        <f>$B13 * IFERROR(VLOOKUP("electricity|PM25|Non-fatal heart attacks", US_national_yearly!$D:$AM, 13, FALSE) / VLOOKUP("electricity|PM25|Non-fatal heart attacks", US_national_yearly!$D:$AM, 10, FALSE), 1)</f>
        <v>6.4700118110518554E-3</v>
      </c>
      <c r="F13" s="7">
        <f>$B13 * IFERROR(VLOOKUP("electricity|PM25|Non-fatal heart attacks", US_national_yearly!$D:$AM, 14, FALSE) / VLOOKUP("electricity|PM25|Non-fatal heart attacks", US_national_yearly!$D:$AM, 10, FALSE), 1)</f>
        <v>6.6424321749881015E-3</v>
      </c>
      <c r="G13" s="7">
        <f>$B13 * IFERROR(VLOOKUP("electricity|PM25|Non-fatal heart attacks", US_national_yearly!$D:$AM, 15, FALSE) / VLOOKUP("electricity|PM25|Non-fatal heart attacks", US_national_yearly!$D:$AM, 10, FALSE), 1)</f>
        <v>6.8060878938446638E-3</v>
      </c>
      <c r="H13" s="7">
        <f>$B13 * IFERROR(VLOOKUP("electricity|PM25|Non-fatal heart attacks", US_national_yearly!$D:$AM, 16, FALSE) / VLOOKUP("electricity|PM25|Non-fatal heart attacks", US_national_yearly!$D:$AM, 10, FALSE), 1)</f>
        <v>6.9697436127012244E-3</v>
      </c>
      <c r="I13" s="7">
        <f>$B13 * IFERROR(VLOOKUP("electricity|PM25|Non-fatal heart attacks", US_national_yearly!$D:$AM, 17, FALSE) / VLOOKUP("electricity|PM25|Non-fatal heart attacks", US_national_yearly!$D:$AM, 10, FALSE), 1)</f>
        <v>7.1032673588155666E-3</v>
      </c>
      <c r="J13" s="7">
        <f>$B13 * IFERROR(VLOOKUP("electricity|PM25|Non-fatal heart attacks", US_national_yearly!$D:$AM, 18, FALSE) / VLOOKUP("electricity|PM25|Non-fatal heart attacks", US_national_yearly!$D:$AM, 10, FALSE), 1)</f>
        <v>7.2367911049299087E-3</v>
      </c>
      <c r="K13" s="7">
        <f>$B13 * IFERROR(VLOOKUP("electricity|PM25|Non-fatal heart attacks", US_national_yearly!$D:$AM, 19, FALSE) / VLOOKUP("electricity|PM25|Non-fatal heart attacks", US_national_yearly!$D:$AM, 10, FALSE), 1)</f>
        <v>7.3703148510442492E-3</v>
      </c>
      <c r="L13" s="7">
        <f>$B13 * IFERROR(VLOOKUP("electricity|PM25|Non-fatal heart attacks", US_national_yearly!$D:$AM, 20, FALSE) / VLOOKUP("electricity|PM25|Non-fatal heart attacks", US_national_yearly!$D:$AM, 10, FALSE), 1)</f>
        <v>7.5038385971585896E-3</v>
      </c>
      <c r="M13" s="7">
        <f>$B13 * IFERROR(VLOOKUP("electricity|PM25|Non-fatal heart attacks", US_national_yearly!$D:$AM, 21, FALSE) / VLOOKUP("electricity|PM25|Non-fatal heart attacks", US_national_yearly!$D:$AM, 10, FALSE), 1)</f>
        <v>7.6373623432729326E-3</v>
      </c>
      <c r="N13" s="7">
        <f>$B13 * IFERROR(VLOOKUP("electricity|PM25|Non-fatal heart attacks", US_national_yearly!$D:$AM, 22, FALSE) / VLOOKUP("electricity|PM25|Non-fatal heart attacks", US_national_yearly!$D:$AM, 10, FALSE), 1)</f>
        <v>7.7240020175423727E-3</v>
      </c>
      <c r="O13" s="7">
        <f>$B13 * IFERROR(VLOOKUP("electricity|PM25|Non-fatal heart attacks", US_national_yearly!$D:$AM, 23, FALSE) / VLOOKUP("electricity|PM25|Non-fatal heart attacks", US_national_yearly!$D:$AM, 10, FALSE), 1)</f>
        <v>7.8106416918118128E-3</v>
      </c>
      <c r="P13" s="7">
        <f>$B13 * IFERROR(VLOOKUP("electricity|PM25|Non-fatal heart attacks", US_national_yearly!$D:$AM, 24, FALSE) / VLOOKUP("electricity|PM25|Non-fatal heart attacks", US_national_yearly!$D:$AM, 10, FALSE), 1)</f>
        <v>7.8972813660812512E-3</v>
      </c>
      <c r="Q13" s="7">
        <f>$B13 * IFERROR(VLOOKUP("electricity|PM25|Non-fatal heart attacks", US_national_yearly!$D:$AM, 25, FALSE) / VLOOKUP("electricity|PM25|Non-fatal heart attacks", US_national_yearly!$D:$AM, 10, FALSE), 1)</f>
        <v>7.9839210403506913E-3</v>
      </c>
      <c r="R13" s="7">
        <f>$B13 * IFERROR(VLOOKUP("electricity|PM25|Non-fatal heart attacks", US_national_yearly!$D:$AM, 26, FALSE) / VLOOKUP("electricity|PM25|Non-fatal heart attacks", US_national_yearly!$D:$AM, 10, FALSE), 1)</f>
        <v>8.0705607146201296E-3</v>
      </c>
      <c r="S13" s="7">
        <f>$B13 * IFERROR(VLOOKUP("electricity|PM25|Non-fatal heart attacks", US_national_yearly!$D:$AM, 27, FALSE) / VLOOKUP("electricity|PM25|Non-fatal heart attacks", US_national_yearly!$D:$AM, 10, FALSE), 1)</f>
        <v>8.1182580810960879E-3</v>
      </c>
      <c r="T13" s="7">
        <f>$B13 * IFERROR(VLOOKUP("electricity|PM25|Non-fatal heart attacks", US_national_yearly!$D:$AM, 28, FALSE) / VLOOKUP("electricity|PM25|Non-fatal heart attacks", US_national_yearly!$D:$AM, 10, FALSE), 1)</f>
        <v>8.1659554475720479E-3</v>
      </c>
      <c r="U13" s="7">
        <f>$B13 * IFERROR(VLOOKUP("electricity|PM25|Non-fatal heart attacks", US_national_yearly!$D:$AM, 29, FALSE) / VLOOKUP("electricity|PM25|Non-fatal heart attacks", US_national_yearly!$D:$AM, 10, FALSE), 1)</f>
        <v>8.2136528140480062E-3</v>
      </c>
      <c r="V13" s="7">
        <f>$B13 * IFERROR(VLOOKUP("electricity|PM25|Non-fatal heart attacks", US_national_yearly!$D:$AM, 30, FALSE) / VLOOKUP("electricity|PM25|Non-fatal heart attacks", US_national_yearly!$D:$AM, 10, FALSE), 1)</f>
        <v>8.2613501805239645E-3</v>
      </c>
      <c r="W13" s="7">
        <f>$B13 * IFERROR(VLOOKUP("electricity|PM25|Non-fatal heart attacks", US_national_yearly!$D:$AM, 31, FALSE) / VLOOKUP("electricity|PM25|Non-fatal heart attacks", US_national_yearly!$D:$AM, 10, FALSE), 1)</f>
        <v>8.3090475469999245E-3</v>
      </c>
      <c r="X13" s="7">
        <f>$B13 * IFERROR(VLOOKUP("electricity|PM25|Non-fatal heart attacks", US_national_yearly!$D:$AM, 32, FALSE) / VLOOKUP("electricity|PM25|Non-fatal heart attacks", US_national_yearly!$D:$AM, 10, FALSE), 1)</f>
        <v>8.3463619497244866E-3</v>
      </c>
      <c r="Y13" s="7">
        <f>$B13 * IFERROR(VLOOKUP("electricity|PM25|Non-fatal heart attacks", US_national_yearly!$D:$AM, 33, FALSE) / VLOOKUP("electricity|PM25|Non-fatal heart attacks", US_national_yearly!$D:$AM, 10, FALSE), 1)</f>
        <v>8.3836763524490487E-3</v>
      </c>
      <c r="Z13" s="7">
        <f>$B13 * IFERROR(VLOOKUP("electricity|PM25|Non-fatal heart attacks", US_national_yearly!$D:$AM, 34, FALSE) / VLOOKUP("electricity|PM25|Non-fatal heart attacks", US_national_yearly!$D:$AM, 10, FALSE), 1)</f>
        <v>8.4209907551736109E-3</v>
      </c>
      <c r="AA13" s="7">
        <f>$B13 * IFERROR(VLOOKUP("electricity|PM25|Non-fatal heart attacks", US_national_yearly!$D:$AM, 35, FALSE) / VLOOKUP("electricity|PM25|Non-fatal heart attacks", US_national_yearly!$D:$AM, 10, FALSE), 1)</f>
        <v>8.4583051578981747E-3</v>
      </c>
      <c r="AB13" s="7">
        <f>$B13 * IFERROR(VLOOKUP("electricity|PM25|Non-fatal heart attacks", US_national_yearly!$D:$AM, 36, FALSE) / VLOOKUP("electricity|PM25|Non-fatal heart attacks", US_national_yearly!$D:$AM, 10, FALSE), 1)</f>
        <v>8.4956195606227369E-3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5.3868212354596858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5.3987796165131945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5.410737997566704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5.4226963786202127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5.4346547596737222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5.4523996114935249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5.4701444633133267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5.5014770396516299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5.5328096159899349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5.5641421923282381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5.5954747686665431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5.6268073450048464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5.6702746648239959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5.7137419846431472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5.7572093044622985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5.8006766242814498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5.8441439441005993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5.8879861915937353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5.9318284390868694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5.9756706865800036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6.0195129340731386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6.0633551815662727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6.1009371388609486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6.1385190961556253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6.1761010534503011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6.2136830107449761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6.2512649680396537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0.91753213758468255</v>
      </c>
      <c r="C15" s="7">
        <f>$B15 * IFERROR(VLOOKUP("electricity|PM25|Work loss days", US_national_yearly!$D:$AM, 11, FALSE) / VLOOKUP("electricity|PM25|Work loss days", US_national_yearly!$D:$AM, 10, FALSE), 1)</f>
        <v>0.92015770883421488</v>
      </c>
      <c r="D15" s="7">
        <f>$B15 * IFERROR(VLOOKUP("electricity|PM25|Work loss days", US_national_yearly!$D:$AM, 12, FALSE) / VLOOKUP("electricity|PM25|Work loss days", US_national_yearly!$D:$AM, 10, FALSE), 1)</f>
        <v>0.92278328008374733</v>
      </c>
      <c r="E15" s="7">
        <f>$B15 * IFERROR(VLOOKUP("electricity|PM25|Work loss days", US_national_yearly!$D:$AM, 13, FALSE) / VLOOKUP("electricity|PM25|Work loss days", US_national_yearly!$D:$AM, 10, FALSE), 1)</f>
        <v>0.92540885133327966</v>
      </c>
      <c r="F15" s="7">
        <f>$B15 * IFERROR(VLOOKUP("electricity|PM25|Work loss days", US_national_yearly!$D:$AM, 14, FALSE) / VLOOKUP("electricity|PM25|Work loss days", US_national_yearly!$D:$AM, 10, FALSE), 1)</f>
        <v>0.92803442258281199</v>
      </c>
      <c r="G15" s="7">
        <f>$B15 * IFERROR(VLOOKUP("electricity|PM25|Work loss days", US_national_yearly!$D:$AM, 15, FALSE) / VLOOKUP("electricity|PM25|Work loss days", US_national_yearly!$D:$AM, 10, FALSE), 1)</f>
        <v>0.9314357153532854</v>
      </c>
      <c r="H15" s="7">
        <f>$B15 * IFERROR(VLOOKUP("electricity|PM25|Work loss days", US_national_yearly!$D:$AM, 16, FALSE) / VLOOKUP("electricity|PM25|Work loss days", US_national_yearly!$D:$AM, 10, FALSE), 1)</f>
        <v>0.93483700812375903</v>
      </c>
      <c r="I15" s="7">
        <f>$B15 * IFERROR(VLOOKUP("electricity|PM25|Work loss days", US_national_yearly!$D:$AM, 17, FALSE) / VLOOKUP("electricity|PM25|Work loss days", US_national_yearly!$D:$AM, 10, FALSE), 1)</f>
        <v>0.93995027100239559</v>
      </c>
      <c r="J15" s="7">
        <f>$B15 * IFERROR(VLOOKUP("electricity|PM25|Work loss days", US_national_yearly!$D:$AM, 18, FALSE) / VLOOKUP("electricity|PM25|Work loss days", US_national_yearly!$D:$AM, 10, FALSE), 1)</f>
        <v>0.94506353388103193</v>
      </c>
      <c r="K15" s="7">
        <f>$B15 * IFERROR(VLOOKUP("electricity|PM25|Work loss days", US_national_yearly!$D:$AM, 19, FALSE) / VLOOKUP("electricity|PM25|Work loss days", US_national_yearly!$D:$AM, 10, FALSE), 1)</f>
        <v>0.95017679675966848</v>
      </c>
      <c r="L15" s="7">
        <f>$B15 * IFERROR(VLOOKUP("electricity|PM25|Work loss days", US_national_yearly!$D:$AM, 20, FALSE) / VLOOKUP("electricity|PM25|Work loss days", US_national_yearly!$D:$AM, 10, FALSE), 1)</f>
        <v>0.95529005963830504</v>
      </c>
      <c r="M15" s="7">
        <f>$B15 * IFERROR(VLOOKUP("electricity|PM25|Work loss days", US_national_yearly!$D:$AM, 21, FALSE) / VLOOKUP("electricity|PM25|Work loss days", US_national_yearly!$D:$AM, 10, FALSE), 1)</f>
        <v>0.9604033225169416</v>
      </c>
      <c r="N15" s="7">
        <f>$B15 * IFERROR(VLOOKUP("electricity|PM25|Work loss days", US_national_yearly!$D:$AM, 22, FALSE) / VLOOKUP("electricity|PM25|Work loss days", US_national_yearly!$D:$AM, 10, FALSE), 1)</f>
        <v>0.9670048998686297</v>
      </c>
      <c r="O15" s="7">
        <f>$B15 * IFERROR(VLOOKUP("electricity|PM25|Work loss days", US_national_yearly!$D:$AM, 23, FALSE) / VLOOKUP("electricity|PM25|Work loss days", US_national_yearly!$D:$AM, 10, FALSE), 1)</f>
        <v>0.97360647722031779</v>
      </c>
      <c r="P15" s="7">
        <f>$B15 * IFERROR(VLOOKUP("electricity|PM25|Work loss days", US_national_yearly!$D:$AM, 24, FALSE) / VLOOKUP("electricity|PM25|Work loss days", US_national_yearly!$D:$AM, 10, FALSE), 1)</f>
        <v>0.98020805457200566</v>
      </c>
      <c r="Q15" s="7">
        <f>$B15 * IFERROR(VLOOKUP("electricity|PM25|Work loss days", US_national_yearly!$D:$AM, 25, FALSE) / VLOOKUP("electricity|PM25|Work loss days", US_national_yearly!$D:$AM, 10, FALSE), 1)</f>
        <v>0.98680963192369353</v>
      </c>
      <c r="R15" s="7">
        <f>$B15 * IFERROR(VLOOKUP("electricity|PM25|Work loss days", US_national_yearly!$D:$AM, 26, FALSE) / VLOOKUP("electricity|PM25|Work loss days", US_national_yearly!$D:$AM, 10, FALSE), 1)</f>
        <v>0.99341120927538162</v>
      </c>
      <c r="S15" s="7">
        <f>$B15 * IFERROR(VLOOKUP("electricity|PM25|Work loss days", US_national_yearly!$D:$AM, 27, FALSE) / VLOOKUP("electricity|PM25|Work loss days", US_national_yearly!$D:$AM, 10, FALSE), 1)</f>
        <v>1.0007366290194777</v>
      </c>
      <c r="T15" s="7">
        <f>$B15 * IFERROR(VLOOKUP("electricity|PM25|Work loss days", US_national_yearly!$D:$AM, 28, FALSE) / VLOOKUP("electricity|PM25|Work loss days", US_national_yearly!$D:$AM, 10, FALSE), 1)</f>
        <v>1.0080620487635741</v>
      </c>
      <c r="U15" s="7">
        <f>$B15 * IFERROR(VLOOKUP("electricity|PM25|Work loss days", US_national_yearly!$D:$AM, 29, FALSE) / VLOOKUP("electricity|PM25|Work loss days", US_national_yearly!$D:$AM, 10, FALSE), 1)</f>
        <v>1.0153874685076703</v>
      </c>
      <c r="V15" s="7">
        <f>$B15 * IFERROR(VLOOKUP("electricity|PM25|Work loss days", US_national_yearly!$D:$AM, 30, FALSE) / VLOOKUP("electricity|PM25|Work loss days", US_national_yearly!$D:$AM, 10, FALSE), 1)</f>
        <v>1.0227128882517666</v>
      </c>
      <c r="W15" s="7">
        <f>$B15 * IFERROR(VLOOKUP("electricity|PM25|Work loss days", US_national_yearly!$D:$AM, 31, FALSE) / VLOOKUP("electricity|PM25|Work loss days", US_national_yearly!$D:$AM, 10, FALSE), 1)</f>
        <v>1.0300383079958626</v>
      </c>
      <c r="X15" s="7">
        <f>$B15 * IFERROR(VLOOKUP("electricity|PM25|Work loss days", US_national_yearly!$D:$AM, 32, FALSE) / VLOOKUP("electricity|PM25|Work loss days", US_national_yearly!$D:$AM, 10, FALSE), 1)</f>
        <v>1.0365005302051618</v>
      </c>
      <c r="Y15" s="7">
        <f>$B15 * IFERROR(VLOOKUP("electricity|PM25|Work loss days", US_national_yearly!$D:$AM, 33, FALSE) / VLOOKUP("electricity|PM25|Work loss days", US_national_yearly!$D:$AM, 10, FALSE), 1)</f>
        <v>1.0429627524144605</v>
      </c>
      <c r="Z15" s="7">
        <f>$B15 * IFERROR(VLOOKUP("electricity|PM25|Work loss days", US_national_yearly!$D:$AM, 34, FALSE) / VLOOKUP("electricity|PM25|Work loss days", US_national_yearly!$D:$AM, 10, FALSE), 1)</f>
        <v>1.0494249746237594</v>
      </c>
      <c r="AA15" s="7">
        <f>$B15 * IFERROR(VLOOKUP("electricity|PM25|Work loss days", US_national_yearly!$D:$AM, 35, FALSE) / VLOOKUP("electricity|PM25|Work loss days", US_national_yearly!$D:$AM, 10, FALSE), 1)</f>
        <v>1.0558871968330585</v>
      </c>
      <c r="AB15" s="7">
        <f>$B15 * IFERROR(VLOOKUP("electricity|PM25|Work loss days", US_national_yearly!$D:$AM, 36, FALSE) / VLOOKUP("electricity|PM25|Work loss days", US_national_yearly!$D:$AM, 10, FALSE), 1)</f>
        <v>1.0623494190423575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1.4664419147673139E-3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1.5099584453851763E-3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1.5534749760030384E-3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1.5969915066209007E-3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1.640508037238763E-3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1.682479663508486E-3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1.7244512897782089E-3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1.7608104481871213E-3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1.7971696065960335E-3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1.8335287650049455E-3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1.8698879234138577E-3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1.9062470818227697E-3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1.9306885414823601E-3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1.9551300011419501E-3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1.97957146080154E-3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2.0040129204611304E-3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2.0284543801207203E-3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2.0419436543317312E-3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2.0554329285427417E-3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2.0689222027537525E-3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2.082411476964763E-3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2.0959007511757739E-3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2.1053115993825977E-3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2.1147224475894216E-3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2.1241332957962454E-3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2.1335441440030701E-3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2.142954992209894E-3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7.8866856749866814E-4</v>
      </c>
      <c r="C2" s="7">
        <f>$B2 * IFERROR(VLOOKUP("electricity|NOx|Premature mortality", US_national_yearly!$D:$AM, 11, FALSE) / VLOOKUP("electricity|NOx|Premature mortality", US_national_yearly!$D:$AM, 10, FALSE), 1)</f>
        <v>8.0060162271011054E-4</v>
      </c>
      <c r="D2" s="7">
        <f>$B2 * IFERROR(VLOOKUP("electricity|NOx|Premature mortality", US_national_yearly!$D:$AM, 12, FALSE) / VLOOKUP("electricity|NOx|Premature mortality", US_national_yearly!$D:$AM, 10, FALSE), 1)</f>
        <v>8.1253467792155316E-4</v>
      </c>
      <c r="E2" s="7">
        <f>$B2 * IFERROR(VLOOKUP("electricity|NOx|Premature mortality", US_national_yearly!$D:$AM, 13, FALSE) / VLOOKUP("electricity|NOx|Premature mortality", US_national_yearly!$D:$AM, 10, FALSE), 1)</f>
        <v>8.2446773313299556E-4</v>
      </c>
      <c r="F2" s="7">
        <f>$B2 * IFERROR(VLOOKUP("electricity|NOx|Premature mortality", US_national_yearly!$D:$AM, 14, FALSE) / VLOOKUP("electricity|NOx|Premature mortality", US_national_yearly!$D:$AM, 10, FALSE), 1)</f>
        <v>8.3640078834443796E-4</v>
      </c>
      <c r="G2" s="7">
        <f>$B2 * IFERROR(VLOOKUP("electricity|NOx|Premature mortality", US_national_yearly!$D:$AM, 15, FALSE) / VLOOKUP("electricity|NOx|Premature mortality", US_national_yearly!$D:$AM, 10, FALSE), 1)</f>
        <v>8.5771761979411764E-4</v>
      </c>
      <c r="H2" s="7">
        <f>$B2 * IFERROR(VLOOKUP("electricity|NOx|Premature mortality", US_national_yearly!$D:$AM, 16, FALSE) / VLOOKUP("electricity|NOx|Premature mortality", US_national_yearly!$D:$AM, 10, FALSE), 1)</f>
        <v>8.7903445124379721E-4</v>
      </c>
      <c r="I2" s="7">
        <f>$B2 * IFERROR(VLOOKUP("electricity|NOx|Premature mortality", US_national_yearly!$D:$AM, 17, FALSE) / VLOOKUP("electricity|NOx|Premature mortality", US_national_yearly!$D:$AM, 10, FALSE), 1)</f>
        <v>8.9320036132674936E-4</v>
      </c>
      <c r="J2" s="7">
        <f>$B2 * IFERROR(VLOOKUP("electricity|NOx|Premature mortality", US_national_yearly!$D:$AM, 18, FALSE) / VLOOKUP("electricity|NOx|Premature mortality", US_national_yearly!$D:$AM, 10, FALSE), 1)</f>
        <v>9.0736627140970162E-4</v>
      </c>
      <c r="K2" s="7">
        <f>$B2 * IFERROR(VLOOKUP("electricity|NOx|Premature mortality", US_national_yearly!$D:$AM, 19, FALSE) / VLOOKUP("electricity|NOx|Premature mortality", US_national_yearly!$D:$AM, 10, FALSE), 1)</f>
        <v>9.2153218149265389E-4</v>
      </c>
      <c r="L2" s="7">
        <f>$B2 * IFERROR(VLOOKUP("electricity|NOx|Premature mortality", US_national_yearly!$D:$AM, 20, FALSE) / VLOOKUP("electricity|NOx|Premature mortality", US_national_yearly!$D:$AM, 10, FALSE), 1)</f>
        <v>9.3569809157560604E-4</v>
      </c>
      <c r="M2" s="7">
        <f>$B2 * IFERROR(VLOOKUP("electricity|NOx|Premature mortality", US_national_yearly!$D:$AM, 21, FALSE) / VLOOKUP("electricity|NOx|Premature mortality", US_national_yearly!$D:$AM, 10, FALSE), 1)</f>
        <v>9.4986400165855819E-4</v>
      </c>
      <c r="N2" s="7">
        <f>$B2 * IFERROR(VLOOKUP("electricity|NOx|Premature mortality", US_national_yearly!$D:$AM, 22, FALSE) / VLOOKUP("electricity|NOx|Premature mortality", US_national_yearly!$D:$AM, 10, FALSE), 1)</f>
        <v>9.6079463893597526E-4</v>
      </c>
      <c r="O2" s="7">
        <f>$B2 * IFERROR(VLOOKUP("electricity|NOx|Premature mortality", US_national_yearly!$D:$AM, 23, FALSE) / VLOOKUP("electricity|NOx|Premature mortality", US_national_yearly!$D:$AM, 10, FALSE), 1)</f>
        <v>9.7172527621339265E-4</v>
      </c>
      <c r="P2" s="7">
        <f>$B2 * IFERROR(VLOOKUP("electricity|NOx|Premature mortality", US_national_yearly!$D:$AM, 24, FALSE) / VLOOKUP("electricity|NOx|Premature mortality", US_national_yearly!$D:$AM, 10, FALSE), 1)</f>
        <v>9.8265591349080972E-4</v>
      </c>
      <c r="Q2" s="7">
        <f>$B2 * IFERROR(VLOOKUP("electricity|NOx|Premature mortality", US_national_yearly!$D:$AM, 25, FALSE) / VLOOKUP("electricity|NOx|Premature mortality", US_national_yearly!$D:$AM, 10, FALSE), 1)</f>
        <v>9.9358655076822689E-4</v>
      </c>
      <c r="R2" s="7">
        <f>$B2 * IFERROR(VLOOKUP("electricity|NOx|Premature mortality", US_national_yearly!$D:$AM, 26, FALSE) / VLOOKUP("electricity|NOx|Premature mortality", US_national_yearly!$D:$AM, 10, FALSE), 1)</f>
        <v>1.0045171880456441E-3</v>
      </c>
      <c r="S2" s="7">
        <f>$B2 * IFERROR(VLOOKUP("electricity|NOx|Premature mortality", US_national_yearly!$D:$AM, 27, FALSE) / VLOOKUP("electricity|NOx|Premature mortality", US_national_yearly!$D:$AM, 10, FALSE), 1)</f>
        <v>1.0101655060003783E-3</v>
      </c>
      <c r="T2" s="7">
        <f>$B2 * IFERROR(VLOOKUP("electricity|NOx|Premature mortality", US_national_yearly!$D:$AM, 28, FALSE) / VLOOKUP("electricity|NOx|Premature mortality", US_national_yearly!$D:$AM, 10, FALSE), 1)</f>
        <v>1.0158138239551124E-3</v>
      </c>
      <c r="U2" s="7">
        <f>$B2 * IFERROR(VLOOKUP("electricity|NOx|Premature mortality", US_national_yearly!$D:$AM, 29, FALSE) / VLOOKUP("electricity|NOx|Premature mortality", US_national_yearly!$D:$AM, 10, FALSE), 1)</f>
        <v>1.0214621419098468E-3</v>
      </c>
      <c r="V2" s="7">
        <f>$B2 * IFERROR(VLOOKUP("electricity|NOx|Premature mortality", US_national_yearly!$D:$AM, 30, FALSE) / VLOOKUP("electricity|NOx|Premature mortality", US_national_yearly!$D:$AM, 10, FALSE), 1)</f>
        <v>1.027110459864581E-3</v>
      </c>
      <c r="W2" s="7">
        <f>$B2 * IFERROR(VLOOKUP("electricity|NOx|Premature mortality", US_national_yearly!$D:$AM, 31, FALSE) / VLOOKUP("electricity|NOx|Premature mortality", US_national_yearly!$D:$AM, 10, FALSE), 1)</f>
        <v>1.0327587778193152E-3</v>
      </c>
      <c r="X2" s="7">
        <f>$B2 * IFERROR(VLOOKUP("electricity|NOx|Premature mortality", US_national_yearly!$D:$AM, 32, FALSE) / VLOOKUP("electricity|NOx|Premature mortality", US_national_yearly!$D:$AM, 10, FALSE), 1)</f>
        <v>1.0340366028127779E-3</v>
      </c>
      <c r="Y2" s="7">
        <f>$B2 * IFERROR(VLOOKUP("electricity|NOx|Premature mortality", US_national_yearly!$D:$AM, 33, FALSE) / VLOOKUP("electricity|NOx|Premature mortality", US_national_yearly!$D:$AM, 10, FALSE), 1)</f>
        <v>1.0353144278062404E-3</v>
      </c>
      <c r="Z2" s="7">
        <f>$B2 * IFERROR(VLOOKUP("electricity|NOx|Premature mortality", US_national_yearly!$D:$AM, 34, FALSE) / VLOOKUP("electricity|NOx|Premature mortality", US_national_yearly!$D:$AM, 10, FALSE), 1)</f>
        <v>1.0365922527997029E-3</v>
      </c>
      <c r="AA2" s="7">
        <f>$B2 * IFERROR(VLOOKUP("electricity|NOx|Premature mortality", US_national_yearly!$D:$AM, 35, FALSE) / VLOOKUP("electricity|NOx|Premature mortality", US_national_yearly!$D:$AM, 10, FALSE), 1)</f>
        <v>1.0378700777931651E-3</v>
      </c>
      <c r="AB2" s="7">
        <f>$B2 * IFERROR(VLOOKUP("electricity|NOx|Premature mortality", US_national_yearly!$D:$AM, 36, FALSE) / VLOOKUP("electricity|NOx|Premature mortality", US_national_yearly!$D:$AM, 10, FALSE), 1)</f>
        <v>1.0391479027866278E-3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2.7242043386722261E-6</v>
      </c>
      <c r="C3" s="7">
        <f>$B3 * IFERROR(VLOOKUP("electricity|NOx|Infant mortality", US_national_yearly!$D:$AM, 11, FALSE) / VLOOKUP("electricity|NOx|Infant mortality", US_national_yearly!$D:$AM, 10, FALSE), 1)</f>
        <v>2.6987178506057004E-6</v>
      </c>
      <c r="D3" s="7">
        <f>$B3 * IFERROR(VLOOKUP("electricity|NOx|Infant mortality", US_national_yearly!$D:$AM, 12, FALSE) / VLOOKUP("electricity|NOx|Infant mortality", US_national_yearly!$D:$AM, 10, FALSE), 1)</f>
        <v>2.6732313625391739E-6</v>
      </c>
      <c r="E3" s="7">
        <f>$B3 * IFERROR(VLOOKUP("electricity|NOx|Infant mortality", US_national_yearly!$D:$AM, 13, FALSE) / VLOOKUP("electricity|NOx|Infant mortality", US_national_yearly!$D:$AM, 10, FALSE), 1)</f>
        <v>2.6477448744726482E-6</v>
      </c>
      <c r="F3" s="7">
        <f>$B3 * IFERROR(VLOOKUP("electricity|NOx|Infant mortality", US_national_yearly!$D:$AM, 14, FALSE) / VLOOKUP("electricity|NOx|Infant mortality", US_national_yearly!$D:$AM, 10, FALSE), 1)</f>
        <v>2.6222583864061221E-6</v>
      </c>
      <c r="G3" s="7">
        <f>$B3 * IFERROR(VLOOKUP("electricity|NOx|Infant mortality", US_national_yearly!$D:$AM, 15, FALSE) / VLOOKUP("electricity|NOx|Infant mortality", US_national_yearly!$D:$AM, 10, FALSE), 1)</f>
        <v>1.7373760971530143E-6</v>
      </c>
      <c r="H3" s="7">
        <f>$B3 * IFERROR(VLOOKUP("electricity|NOx|Infant mortality", US_national_yearly!$D:$AM, 16, FALSE) / VLOOKUP("electricity|NOx|Infant mortality", US_national_yearly!$D:$AM, 10, FALSE), 1)</f>
        <v>8.5249380789990673E-7</v>
      </c>
      <c r="I3" s="7">
        <f>$B3 * IFERROR(VLOOKUP("electricity|NOx|Infant mortality", US_national_yearly!$D:$AM, 17, FALSE) / VLOOKUP("electricity|NOx|Infant mortality", US_national_yearly!$D:$AM, 10, FALSE), 1)</f>
        <v>8.4629400707663607E-7</v>
      </c>
      <c r="J3" s="7">
        <f>$B3 * IFERROR(VLOOKUP("electricity|NOx|Infant mortality", US_national_yearly!$D:$AM, 18, FALSE) / VLOOKUP("electricity|NOx|Infant mortality", US_national_yearly!$D:$AM, 10, FALSE), 1)</f>
        <v>8.4009420625336551E-7</v>
      </c>
      <c r="K3" s="7">
        <f>$B3 * IFERROR(VLOOKUP("electricity|NOx|Infant mortality", US_national_yearly!$D:$AM, 19, FALSE) / VLOOKUP("electricity|NOx|Infant mortality", US_national_yearly!$D:$AM, 10, FALSE), 1)</f>
        <v>8.3389440543009485E-7</v>
      </c>
      <c r="L3" s="7">
        <f>$B3 * IFERROR(VLOOKUP("electricity|NOx|Infant mortality", US_national_yearly!$D:$AM, 20, FALSE) / VLOOKUP("electricity|NOx|Infant mortality", US_national_yearly!$D:$AM, 10, FALSE), 1)</f>
        <v>8.2769460460682419E-7</v>
      </c>
      <c r="M3" s="7">
        <f>$B3 * IFERROR(VLOOKUP("electricity|NOx|Infant mortality", US_national_yearly!$D:$AM, 21, FALSE) / VLOOKUP("electricity|NOx|Infant mortality", US_national_yearly!$D:$AM, 10, FALSE), 1)</f>
        <v>8.2149480378355342E-7</v>
      </c>
      <c r="N3" s="7">
        <f>$B3 * IFERROR(VLOOKUP("electricity|NOx|Infant mortality", US_national_yearly!$D:$AM, 22, FALSE) / VLOOKUP("electricity|NOx|Infant mortality", US_national_yearly!$D:$AM, 10, FALSE), 1)</f>
        <v>8.1733159299501874E-7</v>
      </c>
      <c r="O3" s="7">
        <f>$B3 * IFERROR(VLOOKUP("electricity|NOx|Infant mortality", US_national_yearly!$D:$AM, 23, FALSE) / VLOOKUP("electricity|NOx|Infant mortality", US_national_yearly!$D:$AM, 10, FALSE), 1)</f>
        <v>8.1316838220648384E-7</v>
      </c>
      <c r="P3" s="7">
        <f>$B3 * IFERROR(VLOOKUP("electricity|NOx|Infant mortality", US_national_yearly!$D:$AM, 24, FALSE) / VLOOKUP("electricity|NOx|Infant mortality", US_national_yearly!$D:$AM, 10, FALSE), 1)</f>
        <v>8.0900517141794895E-7</v>
      </c>
      <c r="Q3" s="7">
        <f>$B3 * IFERROR(VLOOKUP("electricity|NOx|Infant mortality", US_national_yearly!$D:$AM, 25, FALSE) / VLOOKUP("electricity|NOx|Infant mortality", US_national_yearly!$D:$AM, 10, FALSE), 1)</f>
        <v>8.0484196062941405E-7</v>
      </c>
      <c r="R3" s="7">
        <f>$B3 * IFERROR(VLOOKUP("electricity|NOx|Infant mortality", US_national_yearly!$D:$AM, 26, FALSE) / VLOOKUP("electricity|NOx|Infant mortality", US_national_yearly!$D:$AM, 10, FALSE), 1)</f>
        <v>8.0067874984087926E-7</v>
      </c>
      <c r="S3" s="7">
        <f>$B3 * IFERROR(VLOOKUP("electricity|NOx|Infant mortality", US_national_yearly!$D:$AM, 27, FALSE) / VLOOKUP("electricity|NOx|Infant mortality", US_national_yearly!$D:$AM, 10, FALSE), 1)</f>
        <v>7.9573629363474362E-7</v>
      </c>
      <c r="T3" s="7">
        <f>$B3 * IFERROR(VLOOKUP("electricity|NOx|Infant mortality", US_national_yearly!$D:$AM, 28, FALSE) / VLOOKUP("electricity|NOx|Infant mortality", US_national_yearly!$D:$AM, 10, FALSE), 1)</f>
        <v>7.9079383742860799E-7</v>
      </c>
      <c r="U3" s="7">
        <f>$B3 * IFERROR(VLOOKUP("electricity|NOx|Infant mortality", US_national_yearly!$D:$AM, 29, FALSE) / VLOOKUP("electricity|NOx|Infant mortality", US_national_yearly!$D:$AM, 10, FALSE), 1)</f>
        <v>7.8585138122247246E-7</v>
      </c>
      <c r="V3" s="7">
        <f>$B3 * IFERROR(VLOOKUP("electricity|NOx|Infant mortality", US_national_yearly!$D:$AM, 30, FALSE) / VLOOKUP("electricity|NOx|Infant mortality", US_national_yearly!$D:$AM, 10, FALSE), 1)</f>
        <v>7.8090892501633692E-7</v>
      </c>
      <c r="W3" s="7">
        <f>$B3 * IFERROR(VLOOKUP("electricity|NOx|Infant mortality", US_national_yearly!$D:$AM, 31, FALSE) / VLOOKUP("electricity|NOx|Infant mortality", US_national_yearly!$D:$AM, 10, FALSE), 1)</f>
        <v>7.7596646881020118E-7</v>
      </c>
      <c r="X3" s="7">
        <f>$B3 * IFERROR(VLOOKUP("electricity|NOx|Infant mortality", US_national_yearly!$D:$AM, 32, FALSE) / VLOOKUP("electricity|NOx|Infant mortality", US_national_yearly!$D:$AM, 10, FALSE), 1)</f>
        <v>7.7087734831941845E-7</v>
      </c>
      <c r="Y3" s="7">
        <f>$B3 * IFERROR(VLOOKUP("electricity|NOx|Infant mortality", US_national_yearly!$D:$AM, 33, FALSE) / VLOOKUP("electricity|NOx|Infant mortality", US_national_yearly!$D:$AM, 10, FALSE), 1)</f>
        <v>7.6578822782863582E-7</v>
      </c>
      <c r="Z3" s="7">
        <f>$B3 * IFERROR(VLOOKUP("electricity|NOx|Infant mortality", US_national_yearly!$D:$AM, 34, FALSE) / VLOOKUP("electricity|NOx|Infant mortality", US_national_yearly!$D:$AM, 10, FALSE), 1)</f>
        <v>7.6069910733785309E-7</v>
      </c>
      <c r="AA3" s="7">
        <f>$B3 * IFERROR(VLOOKUP("electricity|NOx|Infant mortality", US_national_yearly!$D:$AM, 35, FALSE) / VLOOKUP("electricity|NOx|Infant mortality", US_national_yearly!$D:$AM, 10, FALSE), 1)</f>
        <v>7.5560998684707035E-7</v>
      </c>
      <c r="AB3" s="7">
        <f>$B3 * IFERROR(VLOOKUP("electricity|NOx|Infant mortality", US_national_yearly!$D:$AM, 36, FALSE) / VLOOKUP("electricity|NOx|Infant mortality", US_national_yearly!$D:$AM, 10, FALSE), 1)</f>
        <v>7.5052086635628751E-7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2.7346699357461892E-3</v>
      </c>
      <c r="C6" s="7">
        <f>$B6 * IFERROR(VLOOKUP("electricity|NOx|Asthma symptoms cough", US_national_yearly!$D:$AM, 11, FALSE) / VLOOKUP("electricity|NOx|Asthma symptoms cough", US_national_yearly!$D:$AM, 10, FALSE), 1)</f>
        <v>2.7722134835203149E-3</v>
      </c>
      <c r="D6" s="7">
        <f>$B6 * IFERROR(VLOOKUP("electricity|NOx|Asthma symptoms cough", US_national_yearly!$D:$AM, 12, FALSE) / VLOOKUP("electricity|NOx|Asthma symptoms cough", US_national_yearly!$D:$AM, 10, FALSE), 1)</f>
        <v>2.809757031294441E-3</v>
      </c>
      <c r="E6" s="7">
        <f>$B6 * IFERROR(VLOOKUP("electricity|NOx|Asthma symptoms cough", US_national_yearly!$D:$AM, 13, FALSE) / VLOOKUP("electricity|NOx|Asthma symptoms cough", US_national_yearly!$D:$AM, 10, FALSE), 1)</f>
        <v>2.8473005790685662E-3</v>
      </c>
      <c r="F6" s="7">
        <f>$B6 * IFERROR(VLOOKUP("electricity|NOx|Asthma symptoms cough", US_national_yearly!$D:$AM, 14, FALSE) / VLOOKUP("electricity|NOx|Asthma symptoms cough", US_national_yearly!$D:$AM, 10, FALSE), 1)</f>
        <v>2.8848441268426919E-3</v>
      </c>
      <c r="G6" s="7">
        <f>$B6 * IFERROR(VLOOKUP("electricity|NOx|Asthma symptoms cough", US_national_yearly!$D:$AM, 15, FALSE) / VLOOKUP("electricity|NOx|Asthma symptoms cough", US_national_yearly!$D:$AM, 10, FALSE), 1)</f>
        <v>2.9153690218260775E-3</v>
      </c>
      <c r="H6" s="7">
        <f>$B6 * IFERROR(VLOOKUP("electricity|NOx|Asthma symptoms cough", US_national_yearly!$D:$AM, 16, FALSE) / VLOOKUP("electricity|NOx|Asthma symptoms cough", US_national_yearly!$D:$AM, 10, FALSE), 1)</f>
        <v>2.9458939168094632E-3</v>
      </c>
      <c r="I6" s="7">
        <f>$B6 * IFERROR(VLOOKUP("electricity|NOx|Asthma symptoms cough", US_national_yearly!$D:$AM, 17, FALSE) / VLOOKUP("electricity|NOx|Asthma symptoms cough", US_national_yearly!$D:$AM, 10, FALSE), 1)</f>
        <v>2.9572411815178561E-3</v>
      </c>
      <c r="J6" s="7">
        <f>$B6 * IFERROR(VLOOKUP("electricity|NOx|Asthma symptoms cough", US_national_yearly!$D:$AM, 18, FALSE) / VLOOKUP("electricity|NOx|Asthma symptoms cough", US_national_yearly!$D:$AM, 10, FALSE), 1)</f>
        <v>2.968588446226249E-3</v>
      </c>
      <c r="K6" s="7">
        <f>$B6 * IFERROR(VLOOKUP("electricity|NOx|Asthma symptoms cough", US_national_yearly!$D:$AM, 19, FALSE) / VLOOKUP("electricity|NOx|Asthma symptoms cough", US_national_yearly!$D:$AM, 10, FALSE), 1)</f>
        <v>2.9799357109346423E-3</v>
      </c>
      <c r="L6" s="7">
        <f>$B6 * IFERROR(VLOOKUP("electricity|NOx|Asthma symptoms cough", US_national_yearly!$D:$AM, 20, FALSE) / VLOOKUP("electricity|NOx|Asthma symptoms cough", US_national_yearly!$D:$AM, 10, FALSE), 1)</f>
        <v>2.9912829756430352E-3</v>
      </c>
      <c r="M6" s="7">
        <f>$B6 * IFERROR(VLOOKUP("electricity|NOx|Asthma symptoms cough", US_national_yearly!$D:$AM, 21, FALSE) / VLOOKUP("electricity|NOx|Asthma symptoms cough", US_national_yearly!$D:$AM, 10, FALSE), 1)</f>
        <v>3.0026302403514285E-3</v>
      </c>
      <c r="N6" s="7">
        <f>$B6 * IFERROR(VLOOKUP("electricity|NOx|Asthma symptoms cough", US_national_yearly!$D:$AM, 22, FALSE) / VLOOKUP("electricity|NOx|Asthma symptoms cough", US_national_yearly!$D:$AM, 10, FALSE), 1)</f>
        <v>3.0152029151309847E-3</v>
      </c>
      <c r="O6" s="7">
        <f>$B6 * IFERROR(VLOOKUP("electricity|NOx|Asthma symptoms cough", US_national_yearly!$D:$AM, 23, FALSE) / VLOOKUP("electricity|NOx|Asthma symptoms cough", US_national_yearly!$D:$AM, 10, FALSE), 1)</f>
        <v>3.0277755899105422E-3</v>
      </c>
      <c r="P6" s="7">
        <f>$B6 * IFERROR(VLOOKUP("electricity|NOx|Asthma symptoms cough", US_national_yearly!$D:$AM, 24, FALSE) / VLOOKUP("electricity|NOx|Asthma symptoms cough", US_national_yearly!$D:$AM, 10, FALSE), 1)</f>
        <v>3.0403482646900984E-3</v>
      </c>
      <c r="Q6" s="7">
        <f>$B6 * IFERROR(VLOOKUP("electricity|NOx|Asthma symptoms cough", US_national_yearly!$D:$AM, 25, FALSE) / VLOOKUP("electricity|NOx|Asthma symptoms cough", US_national_yearly!$D:$AM, 10, FALSE), 1)</f>
        <v>3.0529209394696559E-3</v>
      </c>
      <c r="R6" s="7">
        <f>$B6 * IFERROR(VLOOKUP("electricity|NOx|Asthma symptoms cough", US_national_yearly!$D:$AM, 26, FALSE) / VLOOKUP("electricity|NOx|Asthma symptoms cough", US_national_yearly!$D:$AM, 10, FALSE), 1)</f>
        <v>3.0654936142492121E-3</v>
      </c>
      <c r="S6" s="7">
        <f>$B6 * IFERROR(VLOOKUP("electricity|NOx|Asthma symptoms cough", US_national_yearly!$D:$AM, 27, FALSE) / VLOOKUP("electricity|NOx|Asthma symptoms cough", US_national_yearly!$D:$AM, 10, FALSE), 1)</f>
        <v>3.0811791838279219E-3</v>
      </c>
      <c r="T6" s="7">
        <f>$B6 * IFERROR(VLOOKUP("electricity|NOx|Asthma symptoms cough", US_national_yearly!$D:$AM, 28, FALSE) / VLOOKUP("electricity|NOx|Asthma symptoms cough", US_national_yearly!$D:$AM, 10, FALSE), 1)</f>
        <v>3.0968647534066313E-3</v>
      </c>
      <c r="U6" s="7">
        <f>$B6 * IFERROR(VLOOKUP("electricity|NOx|Asthma symptoms cough", US_national_yearly!$D:$AM, 29, FALSE) / VLOOKUP("electricity|NOx|Asthma symptoms cough", US_national_yearly!$D:$AM, 10, FALSE), 1)</f>
        <v>3.1125503229853415E-3</v>
      </c>
      <c r="V6" s="7">
        <f>$B6 * IFERROR(VLOOKUP("electricity|NOx|Asthma symptoms cough", US_national_yearly!$D:$AM, 30, FALSE) / VLOOKUP("electricity|NOx|Asthma symptoms cough", US_national_yearly!$D:$AM, 10, FALSE), 1)</f>
        <v>3.1282358925640505E-3</v>
      </c>
      <c r="W6" s="7">
        <f>$B6 * IFERROR(VLOOKUP("electricity|NOx|Asthma symptoms cough", US_national_yearly!$D:$AM, 31, FALSE) / VLOOKUP("electricity|NOx|Asthma symptoms cough", US_national_yearly!$D:$AM, 10, FALSE), 1)</f>
        <v>3.1439214621427603E-3</v>
      </c>
      <c r="X6" s="7">
        <f>$B6 * IFERROR(VLOOKUP("electricity|NOx|Asthma symptoms cough", US_national_yearly!$D:$AM, 32, FALSE) / VLOOKUP("electricity|NOx|Asthma symptoms cough", US_national_yearly!$D:$AM, 10, FALSE), 1)</f>
        <v>3.1583726820995426E-3</v>
      </c>
      <c r="Y6" s="7">
        <f>$B6 * IFERROR(VLOOKUP("electricity|NOx|Asthma symptoms cough", US_national_yearly!$D:$AM, 33, FALSE) / VLOOKUP("electricity|NOx|Asthma symptoms cough", US_national_yearly!$D:$AM, 10, FALSE), 1)</f>
        <v>3.1728239020563259E-3</v>
      </c>
      <c r="Z6" s="7">
        <f>$B6 * IFERROR(VLOOKUP("electricity|NOx|Asthma symptoms cough", US_national_yearly!$D:$AM, 34, FALSE) / VLOOKUP("electricity|NOx|Asthma symptoms cough", US_national_yearly!$D:$AM, 10, FALSE), 1)</f>
        <v>3.1872751220131091E-3</v>
      </c>
      <c r="AA6" s="7">
        <f>$B6 * IFERROR(VLOOKUP("electricity|NOx|Asthma symptoms cough", US_national_yearly!$D:$AM, 35, FALSE) / VLOOKUP("electricity|NOx|Asthma symptoms cough", US_national_yearly!$D:$AM, 10, FALSE), 1)</f>
        <v>3.2017263419698914E-3</v>
      </c>
      <c r="AB6" s="7">
        <f>$B6 * IFERROR(VLOOKUP("electricity|NOx|Asthma symptoms cough", US_national_yearly!$D:$AM, 36, FALSE) / VLOOKUP("electricity|NOx|Asthma symptoms cough", US_national_yearly!$D:$AM, 10, FALSE), 1)</f>
        <v>3.2161775619266742E-3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3.6826096047143284E-3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3.7331671610625005E-3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3.783724717410673E-3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3.8342822737588446E-3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3.8848398301070167E-3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3.9259458040406441E-3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3.967051777974271E-3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3.9823324321614454E-3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3.9976130863486189E-3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4.0128937405357924E-3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4.0281743947229659E-3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4.0434550489101394E-3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4.0603858865005411E-3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4.0773167240909427E-3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4.0942475616813434E-3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4.1111783992717451E-3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4.1281092368621467E-3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4.1492320159357008E-3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4.170354795009254E-3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4.1914775740828081E-3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4.2126003531563613E-3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4.2337231322299154E-3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4.2531836895768988E-3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4.2726442469238823E-3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4.2921048042708658E-3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4.3115653616178484E-3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4.3310259189648327E-3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5.6264756833688057E-3</v>
      </c>
      <c r="C8" s="7">
        <f>$B8 * IFERROR(VLOOKUP("electricity|NOx|Asthma symptoms wheeze", US_national_yearly!$D:$AM, 11, FALSE) / VLOOKUP("electricity|NOx|Asthma symptoms wheeze", US_national_yearly!$D:$AM, 10, FALSE), 1)</f>
        <v>5.7037200541802504E-3</v>
      </c>
      <c r="D8" s="7">
        <f>$B8 * IFERROR(VLOOKUP("electricity|NOx|Asthma symptoms wheeze", US_national_yearly!$D:$AM, 12, FALSE) / VLOOKUP("electricity|NOx|Asthma symptoms wheeze", US_national_yearly!$D:$AM, 10, FALSE), 1)</f>
        <v>5.7809644249916942E-3</v>
      </c>
      <c r="E8" s="7">
        <f>$B8 * IFERROR(VLOOKUP("electricity|NOx|Asthma symptoms wheeze", US_national_yearly!$D:$AM, 13, FALSE) / VLOOKUP("electricity|NOx|Asthma symptoms wheeze", US_national_yearly!$D:$AM, 10, FALSE), 1)</f>
        <v>5.8582087958031388E-3</v>
      </c>
      <c r="F8" s="7">
        <f>$B8 * IFERROR(VLOOKUP("electricity|NOx|Asthma symptoms wheeze", US_national_yearly!$D:$AM, 14, FALSE) / VLOOKUP("electricity|NOx|Asthma symptoms wheeze", US_national_yearly!$D:$AM, 10, FALSE), 1)</f>
        <v>5.9354531666145844E-3</v>
      </c>
      <c r="G8" s="7">
        <f>$B8 * IFERROR(VLOOKUP("electricity|NOx|Asthma symptoms wheeze", US_national_yearly!$D:$AM, 15, FALSE) / VLOOKUP("electricity|NOx|Asthma symptoms wheeze", US_national_yearly!$D:$AM, 10, FALSE), 1)</f>
        <v>5.9982569357399564E-3</v>
      </c>
      <c r="H8" s="7">
        <f>$B8 * IFERROR(VLOOKUP("electricity|NOx|Asthma symptoms wheeze", US_national_yearly!$D:$AM, 16, FALSE) / VLOOKUP("electricity|NOx|Asthma symptoms wheeze", US_national_yearly!$D:$AM, 10, FALSE), 1)</f>
        <v>6.0610607048653302E-3</v>
      </c>
      <c r="I8" s="7">
        <f>$B8 * IFERROR(VLOOKUP("electricity|NOx|Asthma symptoms wheeze", US_national_yearly!$D:$AM, 17, FALSE) / VLOOKUP("electricity|NOx|Asthma symptoms wheeze", US_national_yearly!$D:$AM, 10, FALSE), 1)</f>
        <v>6.084407255029076E-3</v>
      </c>
      <c r="J8" s="7">
        <f>$B8 * IFERROR(VLOOKUP("electricity|NOx|Asthma symptoms wheeze", US_national_yearly!$D:$AM, 18, FALSE) / VLOOKUP("electricity|NOx|Asthma symptoms wheeze", US_national_yearly!$D:$AM, 10, FALSE), 1)</f>
        <v>6.1077538051928226E-3</v>
      </c>
      <c r="K8" s="7">
        <f>$B8 * IFERROR(VLOOKUP("electricity|NOx|Asthma symptoms wheeze", US_national_yearly!$D:$AM, 19, FALSE) / VLOOKUP("electricity|NOx|Asthma symptoms wheeze", US_national_yearly!$D:$AM, 10, FALSE), 1)</f>
        <v>6.131100355356571E-3</v>
      </c>
      <c r="L8" s="7">
        <f>$B8 * IFERROR(VLOOKUP("electricity|NOx|Asthma symptoms wheeze", US_national_yearly!$D:$AM, 20, FALSE) / VLOOKUP("electricity|NOx|Asthma symptoms wheeze", US_national_yearly!$D:$AM, 10, FALSE), 1)</f>
        <v>6.1544469055203176E-3</v>
      </c>
      <c r="M8" s="7">
        <f>$B8 * IFERROR(VLOOKUP("electricity|NOx|Asthma symptoms wheeze", US_national_yearly!$D:$AM, 21, FALSE) / VLOOKUP("electricity|NOx|Asthma symptoms wheeze", US_national_yearly!$D:$AM, 10, FALSE), 1)</f>
        <v>6.1777934556840634E-3</v>
      </c>
      <c r="N8" s="7">
        <f>$B8 * IFERROR(VLOOKUP("electricity|NOx|Asthma symptoms wheeze", US_national_yearly!$D:$AM, 22, FALSE) / VLOOKUP("electricity|NOx|Asthma symptoms wheeze", US_national_yearly!$D:$AM, 10, FALSE), 1)</f>
        <v>6.2036612388027051E-3</v>
      </c>
      <c r="O8" s="7">
        <f>$B8 * IFERROR(VLOOKUP("electricity|NOx|Asthma symptoms wheeze", US_national_yearly!$D:$AM, 23, FALSE) / VLOOKUP("electricity|NOx|Asthma symptoms wheeze", US_national_yearly!$D:$AM, 10, FALSE), 1)</f>
        <v>6.2295290219213477E-3</v>
      </c>
      <c r="P8" s="7">
        <f>$B8 * IFERROR(VLOOKUP("electricity|NOx|Asthma symptoms wheeze", US_national_yearly!$D:$AM, 24, FALSE) / VLOOKUP("electricity|NOx|Asthma symptoms wheeze", US_national_yearly!$D:$AM, 10, FALSE), 1)</f>
        <v>6.2553968050399903E-3</v>
      </c>
      <c r="Q8" s="7">
        <f>$B8 * IFERROR(VLOOKUP("electricity|NOx|Asthma symptoms wheeze", US_national_yearly!$D:$AM, 25, FALSE) / VLOOKUP("electricity|NOx|Asthma symptoms wheeze", US_national_yearly!$D:$AM, 10, FALSE), 1)</f>
        <v>6.281264588158632E-3</v>
      </c>
      <c r="R8" s="7">
        <f>$B8 * IFERROR(VLOOKUP("electricity|NOx|Asthma symptoms wheeze", US_national_yearly!$D:$AM, 26, FALSE) / VLOOKUP("electricity|NOx|Asthma symptoms wheeze", US_national_yearly!$D:$AM, 10, FALSE), 1)</f>
        <v>6.3071323712772737E-3</v>
      </c>
      <c r="S8" s="7">
        <f>$B8 * IFERROR(VLOOKUP("electricity|NOx|Asthma symptoms wheeze", US_national_yearly!$D:$AM, 27, FALSE) / VLOOKUP("electricity|NOx|Asthma symptoms wheeze", US_national_yearly!$D:$AM, 10, FALSE), 1)</f>
        <v>6.3394048128371265E-3</v>
      </c>
      <c r="T8" s="7">
        <f>$B8 * IFERROR(VLOOKUP("electricity|NOx|Asthma symptoms wheeze", US_national_yearly!$D:$AM, 28, FALSE) / VLOOKUP("electricity|NOx|Asthma symptoms wheeze", US_national_yearly!$D:$AM, 10, FALSE), 1)</f>
        <v>6.3716772543969792E-3</v>
      </c>
      <c r="U8" s="7">
        <f>$B8 * IFERROR(VLOOKUP("electricity|NOx|Asthma symptoms wheeze", US_national_yearly!$D:$AM, 29, FALSE) / VLOOKUP("electricity|NOx|Asthma symptoms wheeze", US_national_yearly!$D:$AM, 10, FALSE), 1)</f>
        <v>6.4039496959568303E-3</v>
      </c>
      <c r="V8" s="7">
        <f>$B8 * IFERROR(VLOOKUP("electricity|NOx|Asthma symptoms wheeze", US_national_yearly!$D:$AM, 30, FALSE) / VLOOKUP("electricity|NOx|Asthma symptoms wheeze", US_national_yearly!$D:$AM, 10, FALSE), 1)</f>
        <v>6.4362221375166831E-3</v>
      </c>
      <c r="W8" s="7">
        <f>$B8 * IFERROR(VLOOKUP("electricity|NOx|Asthma symptoms wheeze", US_national_yearly!$D:$AM, 31, FALSE) / VLOOKUP("electricity|NOx|Asthma symptoms wheeze", US_national_yearly!$D:$AM, 10, FALSE), 1)</f>
        <v>6.4684945790765358E-3</v>
      </c>
      <c r="X8" s="7">
        <f>$B8 * IFERROR(VLOOKUP("electricity|NOx|Asthma symptoms wheeze", US_national_yearly!$D:$AM, 32, FALSE) / VLOOKUP("electricity|NOx|Asthma symptoms wheeze", US_national_yearly!$D:$AM, 10, FALSE), 1)</f>
        <v>6.4982273949048836E-3</v>
      </c>
      <c r="Y8" s="7">
        <f>$B8 * IFERROR(VLOOKUP("electricity|NOx|Asthma symptoms wheeze", US_national_yearly!$D:$AM, 33, FALSE) / VLOOKUP("electricity|NOx|Asthma symptoms wheeze", US_national_yearly!$D:$AM, 10, FALSE), 1)</f>
        <v>6.5279602107332331E-3</v>
      </c>
      <c r="Z8" s="7">
        <f>$B8 * IFERROR(VLOOKUP("electricity|NOx|Asthma symptoms wheeze", US_national_yearly!$D:$AM, 34, FALSE) / VLOOKUP("electricity|NOx|Asthma symptoms wheeze", US_national_yearly!$D:$AM, 10, FALSE), 1)</f>
        <v>6.55769302656158E-3</v>
      </c>
      <c r="AA8" s="7">
        <f>$B8 * IFERROR(VLOOKUP("electricity|NOx|Asthma symptoms wheeze", US_national_yearly!$D:$AM, 35, FALSE) / VLOOKUP("electricity|NOx|Asthma symptoms wheeze", US_national_yearly!$D:$AM, 10, FALSE), 1)</f>
        <v>6.5874258423899296E-3</v>
      </c>
      <c r="AB8" s="7">
        <f>$B8 * IFERROR(VLOOKUP("electricity|NOx|Asthma symptoms wheeze", US_national_yearly!$D:$AM, 36, FALSE) / VLOOKUP("electricity|NOx|Asthma symptoms wheeze", US_national_yearly!$D:$AM, 10, FALSE), 1)</f>
        <v>6.6171586582182773E-3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5.8543121103343376E-5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6.0042508215696928E-5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6.1541895328050494E-5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6.3041282440404054E-5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6.4540669552757586E-5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6.5984060981172339E-5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6.7427452409587105E-5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6.8668650292549925E-5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6.9909848175512746E-5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7.1151046058475593E-5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7.2392243941438414E-5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7.3633441824401234E-5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7.4484050319431239E-5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7.5334658814461258E-5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7.6185267309491263E-5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7.7035875804521269E-5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7.7886484299551274E-5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7.8370932974595878E-5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7.885538164964051E-5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7.9339830324685114E-5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7.9824278999729719E-5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8.0308727674774336E-5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8.0661089283419029E-5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8.1013450892063708E-5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8.1365812500708415E-5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8.1718174109353107E-5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8.2070535717997787E-5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3.5332649646107093E-4</v>
      </c>
      <c r="C13" s="7">
        <f>$B13 * IFERROR(VLOOKUP("electricity|NOx|Non-fatal heart attacks", US_national_yearly!$D:$AM, 11, FALSE) / VLOOKUP("electricity|NOx|Non-fatal heart attacks", US_national_yearly!$D:$AM, 10, FALSE), 1)</f>
        <v>3.6346599351286198E-4</v>
      </c>
      <c r="D13" s="7">
        <f>$B13 * IFERROR(VLOOKUP("electricity|NOx|Non-fatal heart attacks", US_national_yearly!$D:$AM, 12, FALSE) / VLOOKUP("electricity|NOx|Non-fatal heart attacks", US_national_yearly!$D:$AM, 10, FALSE), 1)</f>
        <v>3.7360549056465297E-4</v>
      </c>
      <c r="E13" s="7">
        <f>$B13 * IFERROR(VLOOKUP("electricity|NOx|Non-fatal heart attacks", US_national_yearly!$D:$AM, 13, FALSE) / VLOOKUP("electricity|NOx|Non-fatal heart attacks", US_national_yearly!$D:$AM, 10, FALSE), 1)</f>
        <v>3.8374498761644402E-4</v>
      </c>
      <c r="F13" s="7">
        <f>$B13 * IFERROR(VLOOKUP("electricity|NOx|Non-fatal heart attacks", US_national_yearly!$D:$AM, 14, FALSE) / VLOOKUP("electricity|NOx|Non-fatal heart attacks", US_national_yearly!$D:$AM, 10, FALSE), 1)</f>
        <v>3.9388448466823512E-4</v>
      </c>
      <c r="G13" s="7">
        <f>$B13 * IFERROR(VLOOKUP("electricity|NOx|Non-fatal heart attacks", US_national_yearly!$D:$AM, 15, FALSE) / VLOOKUP("electricity|NOx|Non-fatal heart attacks", US_national_yearly!$D:$AM, 10, FALSE), 1)</f>
        <v>4.0343627992675069E-4</v>
      </c>
      <c r="H13" s="7">
        <f>$B13 * IFERROR(VLOOKUP("electricity|NOx|Non-fatal heart attacks", US_national_yearly!$D:$AM, 16, FALSE) / VLOOKUP("electricity|NOx|Non-fatal heart attacks", US_national_yearly!$D:$AM, 10, FALSE), 1)</f>
        <v>4.1298807518526631E-4</v>
      </c>
      <c r="I13" s="7">
        <f>$B13 * IFERROR(VLOOKUP("electricity|NOx|Non-fatal heart attacks", US_national_yearly!$D:$AM, 17, FALSE) / VLOOKUP("electricity|NOx|Non-fatal heart attacks", US_national_yearly!$D:$AM, 10, FALSE), 1)</f>
        <v>4.2064764863401202E-4</v>
      </c>
      <c r="J13" s="7">
        <f>$B13 * IFERROR(VLOOKUP("electricity|NOx|Non-fatal heart attacks", US_national_yearly!$D:$AM, 18, FALSE) / VLOOKUP("electricity|NOx|Non-fatal heart attacks", US_national_yearly!$D:$AM, 10, FALSE), 1)</f>
        <v>4.2830722208275773E-4</v>
      </c>
      <c r="K13" s="7">
        <f>$B13 * IFERROR(VLOOKUP("electricity|NOx|Non-fatal heart attacks", US_national_yearly!$D:$AM, 19, FALSE) / VLOOKUP("electricity|NOx|Non-fatal heart attacks", US_national_yearly!$D:$AM, 10, FALSE), 1)</f>
        <v>4.3596679553150307E-4</v>
      </c>
      <c r="L13" s="7">
        <f>$B13 * IFERROR(VLOOKUP("electricity|NOx|Non-fatal heart attacks", US_national_yearly!$D:$AM, 20, FALSE) / VLOOKUP("electricity|NOx|Non-fatal heart attacks", US_national_yearly!$D:$AM, 10, FALSE), 1)</f>
        <v>4.4362636898024883E-4</v>
      </c>
      <c r="M13" s="7">
        <f>$B13 * IFERROR(VLOOKUP("electricity|NOx|Non-fatal heart attacks", US_national_yearly!$D:$AM, 21, FALSE) / VLOOKUP("electricity|NOx|Non-fatal heart attacks", US_national_yearly!$D:$AM, 10, FALSE), 1)</f>
        <v>4.5128594242899465E-4</v>
      </c>
      <c r="N13" s="7">
        <f>$B13 * IFERROR(VLOOKUP("electricity|NOx|Non-fatal heart attacks", US_national_yearly!$D:$AM, 22, FALSE) / VLOOKUP("electricity|NOx|Non-fatal heart attacks", US_national_yearly!$D:$AM, 10, FALSE), 1)</f>
        <v>4.5600976052122993E-4</v>
      </c>
      <c r="O13" s="7">
        <f>$B13 * IFERROR(VLOOKUP("electricity|NOx|Non-fatal heart attacks", US_national_yearly!$D:$AM, 23, FALSE) / VLOOKUP("electricity|NOx|Non-fatal heart attacks", US_national_yearly!$D:$AM, 10, FALSE), 1)</f>
        <v>4.6073357861346536E-4</v>
      </c>
      <c r="P13" s="7">
        <f>$B13 * IFERROR(VLOOKUP("electricity|NOx|Non-fatal heart attacks", US_national_yearly!$D:$AM, 24, FALSE) / VLOOKUP("electricity|NOx|Non-fatal heart attacks", US_national_yearly!$D:$AM, 10, FALSE), 1)</f>
        <v>4.6545739670570075E-4</v>
      </c>
      <c r="Q13" s="7">
        <f>$B13 * IFERROR(VLOOKUP("electricity|NOx|Non-fatal heart attacks", US_national_yearly!$D:$AM, 25, FALSE) / VLOOKUP("electricity|NOx|Non-fatal heart attacks", US_national_yearly!$D:$AM, 10, FALSE), 1)</f>
        <v>4.7018121479793613E-4</v>
      </c>
      <c r="R13" s="7">
        <f>$B13 * IFERROR(VLOOKUP("electricity|NOx|Non-fatal heart attacks", US_national_yearly!$D:$AM, 26, FALSE) / VLOOKUP("electricity|NOx|Non-fatal heart attacks", US_national_yearly!$D:$AM, 10, FALSE), 1)</f>
        <v>4.7490503289017146E-4</v>
      </c>
      <c r="S13" s="7">
        <f>$B13 * IFERROR(VLOOKUP("electricity|NOx|Non-fatal heart attacks", US_national_yearly!$D:$AM, 27, FALSE) / VLOOKUP("electricity|NOx|Non-fatal heart attacks", US_national_yearly!$D:$AM, 10, FALSE), 1)</f>
        <v>4.7721307467255697E-4</v>
      </c>
      <c r="T13" s="7">
        <f>$B13 * IFERROR(VLOOKUP("electricity|NOx|Non-fatal heart attacks", US_national_yearly!$D:$AM, 28, FALSE) / VLOOKUP("electricity|NOx|Non-fatal heart attacks", US_national_yearly!$D:$AM, 10, FALSE), 1)</f>
        <v>4.7952111645494237E-4</v>
      </c>
      <c r="U13" s="7">
        <f>$B13 * IFERROR(VLOOKUP("electricity|NOx|Non-fatal heart attacks", US_national_yearly!$D:$AM, 29, FALSE) / VLOOKUP("electricity|NOx|Non-fatal heart attacks", US_national_yearly!$D:$AM, 10, FALSE), 1)</f>
        <v>4.8182915823732794E-4</v>
      </c>
      <c r="V13" s="7">
        <f>$B13 * IFERROR(VLOOKUP("electricity|NOx|Non-fatal heart attacks", US_national_yearly!$D:$AM, 30, FALSE) / VLOOKUP("electricity|NOx|Non-fatal heart attacks", US_national_yearly!$D:$AM, 10, FALSE), 1)</f>
        <v>4.8413720001971335E-4</v>
      </c>
      <c r="W13" s="7">
        <f>$B13 * IFERROR(VLOOKUP("electricity|NOx|Non-fatal heart attacks", US_national_yearly!$D:$AM, 31, FALSE) / VLOOKUP("electricity|NOx|Non-fatal heart attacks", US_national_yearly!$D:$AM, 10, FALSE), 1)</f>
        <v>4.8644524180209891E-4</v>
      </c>
      <c r="X13" s="7">
        <f>$B13 * IFERROR(VLOOKUP("electricity|NOx|Non-fatal heart attacks", US_national_yearly!$D:$AM, 32, FALSE) / VLOOKUP("electricity|NOx|Non-fatal heart attacks", US_national_yearly!$D:$AM, 10, FALSE), 1)</f>
        <v>4.8805619362970082E-4</v>
      </c>
      <c r="Y13" s="7">
        <f>$B13 * IFERROR(VLOOKUP("electricity|NOx|Non-fatal heart attacks", US_national_yearly!$D:$AM, 33, FALSE) / VLOOKUP("electricity|NOx|Non-fatal heart attacks", US_national_yearly!$D:$AM, 10, FALSE), 1)</f>
        <v>4.8966714545730283E-4</v>
      </c>
      <c r="Z13" s="7">
        <f>$B13 * IFERROR(VLOOKUP("electricity|NOx|Non-fatal heart attacks", US_national_yearly!$D:$AM, 34, FALSE) / VLOOKUP("electricity|NOx|Non-fatal heart attacks", US_national_yearly!$D:$AM, 10, FALSE), 1)</f>
        <v>4.9127809728490468E-4</v>
      </c>
      <c r="AA13" s="7">
        <f>$B13 * IFERROR(VLOOKUP("electricity|NOx|Non-fatal heart attacks", US_national_yearly!$D:$AM, 35, FALSE) / VLOOKUP("electricity|NOx|Non-fatal heart attacks", US_national_yearly!$D:$AM, 10, FALSE), 1)</f>
        <v>4.9288904911250664E-4</v>
      </c>
      <c r="AB13" s="7">
        <f>$B13 * IFERROR(VLOOKUP("electricity|NOx|Non-fatal heart attacks", US_national_yearly!$D:$AM, 36, FALSE) / VLOOKUP("electricity|NOx|Non-fatal heart attacks", US_national_yearly!$D:$AM, 10, FALSE), 1)</f>
        <v>4.945000009401086E-4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0.31143636158676141</v>
      </c>
      <c r="C14" s="7">
        <f>$B14 * IFERROR(VLOOKUP("electricity|NOx|Minor restricted activity days", US_national_yearly!$D:$AM, 11, FALSE) / VLOOKUP("electricity|NOx|Minor restricted activity days", US_national_yearly!$D:$AM, 10, FALSE), 1)</f>
        <v>0.31191386152820005</v>
      </c>
      <c r="D14" s="7">
        <f>$B14 * IFERROR(VLOOKUP("electricity|NOx|Minor restricted activity days", US_national_yearly!$D:$AM, 12, FALSE) / VLOOKUP("electricity|NOx|Minor restricted activity days", US_national_yearly!$D:$AM, 10, FALSE), 1)</f>
        <v>0.3123913614696387</v>
      </c>
      <c r="E14" s="7">
        <f>$B14 * IFERROR(VLOOKUP("electricity|NOx|Minor restricted activity days", US_national_yearly!$D:$AM, 13, FALSE) / VLOOKUP("electricity|NOx|Minor restricted activity days", US_national_yearly!$D:$AM, 10, FALSE), 1)</f>
        <v>0.31286886141107734</v>
      </c>
      <c r="F14" s="7">
        <f>$B14 * IFERROR(VLOOKUP("electricity|NOx|Minor restricted activity days", US_national_yearly!$D:$AM, 14, FALSE) / VLOOKUP("electricity|NOx|Minor restricted activity days", US_national_yearly!$D:$AM, 10, FALSE), 1)</f>
        <v>0.31334636135251603</v>
      </c>
      <c r="G14" s="7">
        <f>$B14 * IFERROR(VLOOKUP("electricity|NOx|Minor restricted activity days", US_national_yearly!$D:$AM, 15, FALSE) / VLOOKUP("electricity|NOx|Minor restricted activity days", US_national_yearly!$D:$AM, 10, FALSE), 1)</f>
        <v>0.31417928811639556</v>
      </c>
      <c r="H14" s="7">
        <f>$B14 * IFERROR(VLOOKUP("electricity|NOx|Minor restricted activity days", US_national_yearly!$D:$AM, 16, FALSE) / VLOOKUP("electricity|NOx|Minor restricted activity days", US_national_yearly!$D:$AM, 10, FALSE), 1)</f>
        <v>0.31501221488027498</v>
      </c>
      <c r="I14" s="7">
        <f>$B14 * IFERROR(VLOOKUP("electricity|NOx|Minor restricted activity days", US_national_yearly!$D:$AM, 17, FALSE) / VLOOKUP("electricity|NOx|Minor restricted activity days", US_national_yearly!$D:$AM, 10, FALSE), 1)</f>
        <v>0.31666015484190629</v>
      </c>
      <c r="J14" s="7">
        <f>$B14 * IFERROR(VLOOKUP("electricity|NOx|Minor restricted activity days", US_national_yearly!$D:$AM, 18, FALSE) / VLOOKUP("electricity|NOx|Minor restricted activity days", US_national_yearly!$D:$AM, 10, FALSE), 1)</f>
        <v>0.3183080948035375</v>
      </c>
      <c r="K14" s="7">
        <f>$B14 * IFERROR(VLOOKUP("electricity|NOx|Minor restricted activity days", US_national_yearly!$D:$AM, 19, FALSE) / VLOOKUP("electricity|NOx|Minor restricted activity days", US_national_yearly!$D:$AM, 10, FALSE), 1)</f>
        <v>0.31995603476516887</v>
      </c>
      <c r="L14" s="7">
        <f>$B14 * IFERROR(VLOOKUP("electricity|NOx|Minor restricted activity days", US_national_yearly!$D:$AM, 20, FALSE) / VLOOKUP("electricity|NOx|Minor restricted activity days", US_national_yearly!$D:$AM, 10, FALSE), 1)</f>
        <v>0.32160397472680008</v>
      </c>
      <c r="M14" s="7">
        <f>$B14 * IFERROR(VLOOKUP("electricity|NOx|Minor restricted activity days", US_national_yearly!$D:$AM, 21, FALSE) / VLOOKUP("electricity|NOx|Minor restricted activity days", US_national_yearly!$D:$AM, 10, FALSE), 1)</f>
        <v>0.3232519146884314</v>
      </c>
      <c r="N14" s="7">
        <f>$B14 * IFERROR(VLOOKUP("electricity|NOx|Minor restricted activity days", US_national_yearly!$D:$AM, 22, FALSE) / VLOOKUP("electricity|NOx|Minor restricted activity days", US_national_yearly!$D:$AM, 10, FALSE), 1)</f>
        <v>0.32563497433344807</v>
      </c>
      <c r="O14" s="7">
        <f>$B14 * IFERROR(VLOOKUP("electricity|NOx|Minor restricted activity days", US_national_yearly!$D:$AM, 23, FALSE) / VLOOKUP("electricity|NOx|Minor restricted activity days", US_national_yearly!$D:$AM, 10, FALSE), 1)</f>
        <v>0.32801803397846463</v>
      </c>
      <c r="P14" s="7">
        <f>$B14 * IFERROR(VLOOKUP("electricity|NOx|Minor restricted activity days", US_national_yearly!$D:$AM, 24, FALSE) / VLOOKUP("electricity|NOx|Minor restricted activity days", US_national_yearly!$D:$AM, 10, FALSE), 1)</f>
        <v>0.33040109362348119</v>
      </c>
      <c r="Q14" s="7">
        <f>$B14 * IFERROR(VLOOKUP("electricity|NOx|Minor restricted activity days", US_national_yearly!$D:$AM, 25, FALSE) / VLOOKUP("electricity|NOx|Minor restricted activity days", US_national_yearly!$D:$AM, 10, FALSE), 1)</f>
        <v>0.33278415326849781</v>
      </c>
      <c r="R14" s="7">
        <f>$B14 * IFERROR(VLOOKUP("electricity|NOx|Minor restricted activity days", US_national_yearly!$D:$AM, 26, FALSE) / VLOOKUP("electricity|NOx|Minor restricted activity days", US_national_yearly!$D:$AM, 10, FALSE), 1)</f>
        <v>0.33516721291351442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0.33756829402389149</v>
      </c>
      <c r="T14" s="7">
        <f>$B14 * IFERROR(VLOOKUP("electricity|NOx|Minor restricted activity days", US_national_yearly!$D:$AM, 28, FALSE) / VLOOKUP("electricity|NOx|Minor restricted activity days", US_national_yearly!$D:$AM, 10, FALSE), 1)</f>
        <v>0.3399693751342685</v>
      </c>
      <c r="U14" s="7">
        <f>$B14 * IFERROR(VLOOKUP("electricity|NOx|Minor restricted activity days", US_national_yearly!$D:$AM, 29, FALSE) / VLOOKUP("electricity|NOx|Minor restricted activity days", US_national_yearly!$D:$AM, 10, FALSE), 1)</f>
        <v>0.34237045624464563</v>
      </c>
      <c r="V14" s="7">
        <f>$B14 * IFERROR(VLOOKUP("electricity|NOx|Minor restricted activity days", US_national_yearly!$D:$AM, 30, FALSE) / VLOOKUP("electricity|NOx|Minor restricted activity days", US_national_yearly!$D:$AM, 10, FALSE), 1)</f>
        <v>0.34477153735502264</v>
      </c>
      <c r="W14" s="7">
        <f>$B14 * IFERROR(VLOOKUP("electricity|NOx|Minor restricted activity days", US_national_yearly!$D:$AM, 31, FALSE) / VLOOKUP("electricity|NOx|Minor restricted activity days", US_national_yearly!$D:$AM, 10, FALSE), 1)</f>
        <v>0.34717261846539971</v>
      </c>
      <c r="X14" s="7">
        <f>$B14 * IFERROR(VLOOKUP("electricity|NOx|Minor restricted activity days", US_national_yearly!$D:$AM, 32, FALSE) / VLOOKUP("electricity|NOx|Minor restricted activity days", US_national_yearly!$D:$AM, 10, FALSE), 1)</f>
        <v>0.3492032215193081</v>
      </c>
      <c r="Y14" s="7">
        <f>$B14 * IFERROR(VLOOKUP("electricity|NOx|Minor restricted activity days", US_national_yearly!$D:$AM, 33, FALSE) / VLOOKUP("electricity|NOx|Minor restricted activity days", US_national_yearly!$D:$AM, 10, FALSE), 1)</f>
        <v>0.35123382457321628</v>
      </c>
      <c r="Z14" s="7">
        <f>$B14 * IFERROR(VLOOKUP("electricity|NOx|Minor restricted activity days", US_national_yearly!$D:$AM, 34, FALSE) / VLOOKUP("electricity|NOx|Minor restricted activity days", US_national_yearly!$D:$AM, 10, FALSE), 1)</f>
        <v>0.35326442762712501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0.3552950306810333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0.35732563373494164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5.2998032514580212E-2</v>
      </c>
      <c r="C15" s="7">
        <f>$B15 * IFERROR(VLOOKUP("electricity|NOx|Work loss days", US_national_yearly!$D:$AM, 11, FALSE) / VLOOKUP("electricity|NOx|Work loss days", US_national_yearly!$D:$AM, 10, FALSE), 1)</f>
        <v>5.3116237068603737E-2</v>
      </c>
      <c r="D15" s="7">
        <f>$B15 * IFERROR(VLOOKUP("electricity|NOx|Work loss days", US_national_yearly!$D:$AM, 12, FALSE) / VLOOKUP("electricity|NOx|Work loss days", US_national_yearly!$D:$AM, 10, FALSE), 1)</f>
        <v>5.323444162262727E-2</v>
      </c>
      <c r="E15" s="7">
        <f>$B15 * IFERROR(VLOOKUP("electricity|NOx|Work loss days", US_national_yearly!$D:$AM, 13, FALSE) / VLOOKUP("electricity|NOx|Work loss days", US_national_yearly!$D:$AM, 10, FALSE), 1)</f>
        <v>5.3352646176650795E-2</v>
      </c>
      <c r="F15" s="7">
        <f>$B15 * IFERROR(VLOOKUP("electricity|NOx|Work loss days", US_national_yearly!$D:$AM, 14, FALSE) / VLOOKUP("electricity|NOx|Work loss days", US_national_yearly!$D:$AM, 10, FALSE), 1)</f>
        <v>5.347085073067432E-2</v>
      </c>
      <c r="G15" s="7">
        <f>$B15 * IFERROR(VLOOKUP("electricity|NOx|Work loss days", US_national_yearly!$D:$AM, 15, FALSE) / VLOOKUP("electricity|NOx|Work loss days", US_national_yearly!$D:$AM, 10, FALSE), 1)</f>
        <v>5.3637492054419166E-2</v>
      </c>
      <c r="H15" s="7">
        <f>$B15 * IFERROR(VLOOKUP("electricity|NOx|Work loss days", US_national_yearly!$D:$AM, 16, FALSE) / VLOOKUP("electricity|NOx|Work loss days", US_national_yearly!$D:$AM, 10, FALSE), 1)</f>
        <v>5.3804133378163997E-2</v>
      </c>
      <c r="I15" s="7">
        <f>$B15 * IFERROR(VLOOKUP("electricity|NOx|Work loss days", US_national_yearly!$D:$AM, 17, FALSE) / VLOOKUP("electricity|NOx|Work loss days", US_national_yearly!$D:$AM, 10, FALSE), 1)</f>
        <v>5.4074714153472661E-2</v>
      </c>
      <c r="J15" s="7">
        <f>$B15 * IFERROR(VLOOKUP("electricity|NOx|Work loss days", US_national_yearly!$D:$AM, 18, FALSE) / VLOOKUP("electricity|NOx|Work loss days", US_national_yearly!$D:$AM, 10, FALSE), 1)</f>
        <v>5.4345294928781318E-2</v>
      </c>
      <c r="K15" s="7">
        <f>$B15 * IFERROR(VLOOKUP("electricity|NOx|Work loss days", US_national_yearly!$D:$AM, 19, FALSE) / VLOOKUP("electricity|NOx|Work loss days", US_national_yearly!$D:$AM, 10, FALSE), 1)</f>
        <v>5.4615875704089968E-2</v>
      </c>
      <c r="L15" s="7">
        <f>$B15 * IFERROR(VLOOKUP("electricity|NOx|Work loss days", US_national_yearly!$D:$AM, 20, FALSE) / VLOOKUP("electricity|NOx|Work loss days", US_national_yearly!$D:$AM, 10, FALSE), 1)</f>
        <v>5.4886456479398618E-2</v>
      </c>
      <c r="M15" s="7">
        <f>$B15 * IFERROR(VLOOKUP("electricity|NOx|Work loss days", US_national_yearly!$D:$AM, 21, FALSE) / VLOOKUP("electricity|NOx|Work loss days", US_national_yearly!$D:$AM, 10, FALSE), 1)</f>
        <v>5.5157037254707268E-2</v>
      </c>
      <c r="N15" s="7">
        <f>$B15 * IFERROR(VLOOKUP("electricity|NOx|Work loss days", US_national_yearly!$D:$AM, 22, FALSE) / VLOOKUP("electricity|NOx|Work loss days", US_national_yearly!$D:$AM, 10, FALSE), 1)</f>
        <v>5.5514033158577038E-2</v>
      </c>
      <c r="O15" s="7">
        <f>$B15 * IFERROR(VLOOKUP("electricity|NOx|Work loss days", US_national_yearly!$D:$AM, 23, FALSE) / VLOOKUP("electricity|NOx|Work loss days", US_national_yearly!$D:$AM, 10, FALSE), 1)</f>
        <v>5.5871029062446793E-2</v>
      </c>
      <c r="P15" s="7">
        <f>$B15 * IFERROR(VLOOKUP("electricity|NOx|Work loss days", US_national_yearly!$D:$AM, 24, FALSE) / VLOOKUP("electricity|NOx|Work loss days", US_national_yearly!$D:$AM, 10, FALSE), 1)</f>
        <v>5.622802496631657E-2</v>
      </c>
      <c r="Q15" s="7">
        <f>$B15 * IFERROR(VLOOKUP("electricity|NOx|Work loss days", US_national_yearly!$D:$AM, 25, FALSE) / VLOOKUP("electricity|NOx|Work loss days", US_national_yearly!$D:$AM, 10, FALSE), 1)</f>
        <v>5.6585020870186339E-2</v>
      </c>
      <c r="R15" s="7">
        <f>$B15 * IFERROR(VLOOKUP("electricity|NOx|Work loss days", US_national_yearly!$D:$AM, 26, FALSE) / VLOOKUP("electricity|NOx|Work loss days", US_national_yearly!$D:$AM, 10, FALSE), 1)</f>
        <v>5.6942016774056088E-2</v>
      </c>
      <c r="S15" s="7">
        <f>$B15 * IFERROR(VLOOKUP("electricity|NOx|Work loss days", US_national_yearly!$D:$AM, 27, FALSE) / VLOOKUP("electricity|NOx|Work loss days", US_national_yearly!$D:$AM, 10, FALSE), 1)</f>
        <v>5.7342076144250645E-2</v>
      </c>
      <c r="T15" s="7">
        <f>$B15 * IFERROR(VLOOKUP("electricity|NOx|Work loss days", US_national_yearly!$D:$AM, 28, FALSE) / VLOOKUP("electricity|NOx|Work loss days", US_national_yearly!$D:$AM, 10, FALSE), 1)</f>
        <v>5.7742135514445188E-2</v>
      </c>
      <c r="U15" s="7">
        <f>$B15 * IFERROR(VLOOKUP("electricity|NOx|Work loss days", US_national_yearly!$D:$AM, 29, FALSE) / VLOOKUP("electricity|NOx|Work loss days", US_national_yearly!$D:$AM, 10, FALSE), 1)</f>
        <v>5.8142194884639738E-2</v>
      </c>
      <c r="V15" s="7">
        <f>$B15 * IFERROR(VLOOKUP("electricity|NOx|Work loss days", US_national_yearly!$D:$AM, 30, FALSE) / VLOOKUP("electricity|NOx|Work loss days", US_national_yearly!$D:$AM, 10, FALSE), 1)</f>
        <v>5.8542254254834281E-2</v>
      </c>
      <c r="W15" s="7">
        <f>$B15 * IFERROR(VLOOKUP("electricity|NOx|Work loss days", US_national_yearly!$D:$AM, 31, FALSE) / VLOOKUP("electricity|NOx|Work loss days", US_national_yearly!$D:$AM, 10, FALSE), 1)</f>
        <v>5.8942313625028837E-2</v>
      </c>
      <c r="X15" s="7">
        <f>$B15 * IFERROR(VLOOKUP("electricity|NOx|Work loss days", US_national_yearly!$D:$AM, 32, FALSE) / VLOOKUP("electricity|NOx|Work loss days", US_national_yearly!$D:$AM, 10, FALSE), 1)</f>
        <v>5.9291047110144143E-2</v>
      </c>
      <c r="Y15" s="7">
        <f>$B15 * IFERROR(VLOOKUP("electricity|NOx|Work loss days", US_national_yearly!$D:$AM, 33, FALSE) / VLOOKUP("electricity|NOx|Work loss days", US_national_yearly!$D:$AM, 10, FALSE), 1)</f>
        <v>5.9639780595259442E-2</v>
      </c>
      <c r="Z15" s="7">
        <f>$B15 * IFERROR(VLOOKUP("electricity|NOx|Work loss days", US_national_yearly!$D:$AM, 34, FALSE) / VLOOKUP("electricity|NOx|Work loss days", US_national_yearly!$D:$AM, 10, FALSE), 1)</f>
        <v>5.9988514080374741E-2</v>
      </c>
      <c r="AA15" s="7">
        <f>$B15 * IFERROR(VLOOKUP("electricity|NOx|Work loss days", US_national_yearly!$D:$AM, 35, FALSE) / VLOOKUP("electricity|NOx|Work loss days", US_national_yearly!$D:$AM, 10, FALSE), 1)</f>
        <v>6.0337247565490054E-2</v>
      </c>
      <c r="AB15" s="7">
        <f>$B15 * IFERROR(VLOOKUP("electricity|NOx|Work loss days", US_national_yearly!$D:$AM, 36, FALSE) / VLOOKUP("electricity|NOx|Work loss days", US_national_yearly!$D:$AM, 10, FALSE), 1)</f>
        <v>6.068598105060536E-2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8.7091278382244757E-5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8.9656694242521635E-5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9.2222110102798527E-5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9.4787525963075392E-5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9.7352941823352284E-5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9.980952669714249E-5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1.0226611157093268E-4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1.0436293286887277E-4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1.0645975416681288E-4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1.0855657546475298E-4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1.1065339676269309E-4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1.1275021806063318E-4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1.1409589951822362E-4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1.1544158097581404E-4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1.1678726243340448E-4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1.1813294389099491E-4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1.1947862534858534E-4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1.2014085890907209E-4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1.2080309246955883E-4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1.2146532603004558E-4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1.2212755959053234E-4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1.2278979315101909E-4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1.2318669487785373E-4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1.2358359660468837E-4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1.2398049833152301E-4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1.2437740005835765E-4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1.2477430178519229E-4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6.8951836318646112E-4</v>
      </c>
      <c r="C2" s="7">
        <f>$B2 * IFERROR(VLOOKUP("electricity|SO2|Premature mortality", US_national_yearly!$D:$AM, 11, FALSE) / VLOOKUP("electricity|SO2|Premature mortality", US_national_yearly!$D:$AM, 10, FALSE), 1)</f>
        <v>6.9835814767888805E-4</v>
      </c>
      <c r="D2" s="7">
        <f>$B2 * IFERROR(VLOOKUP("electricity|SO2|Premature mortality", US_national_yearly!$D:$AM, 12, FALSE) / VLOOKUP("electricity|SO2|Premature mortality", US_national_yearly!$D:$AM, 10, FALSE), 1)</f>
        <v>7.0719793217131487E-4</v>
      </c>
      <c r="E2" s="7">
        <f>$B2 * IFERROR(VLOOKUP("electricity|SO2|Premature mortality", US_national_yearly!$D:$AM, 13, FALSE) / VLOOKUP("electricity|SO2|Premature mortality", US_national_yearly!$D:$AM, 10, FALSE), 1)</f>
        <v>7.1603771666374179E-4</v>
      </c>
      <c r="F2" s="7">
        <f>$B2 * IFERROR(VLOOKUP("electricity|SO2|Premature mortality", US_national_yearly!$D:$AM, 14, FALSE) / VLOOKUP("electricity|SO2|Premature mortality", US_national_yearly!$D:$AM, 10, FALSE), 1)</f>
        <v>7.248775011561685E-4</v>
      </c>
      <c r="G2" s="7">
        <f>$B2 * IFERROR(VLOOKUP("electricity|SO2|Premature mortality", US_national_yearly!$D:$AM, 15, FALSE) / VLOOKUP("electricity|SO2|Premature mortality", US_national_yearly!$D:$AM, 10, FALSE), 1)</f>
        <v>7.4190647168737576E-4</v>
      </c>
      <c r="H2" s="7">
        <f>$B2 * IFERROR(VLOOKUP("electricity|SO2|Premature mortality", US_national_yearly!$D:$AM, 16, FALSE) / VLOOKUP("electricity|SO2|Premature mortality", US_national_yearly!$D:$AM, 10, FALSE), 1)</f>
        <v>7.589354422185829E-4</v>
      </c>
      <c r="I2" s="7">
        <f>$B2 * IFERROR(VLOOKUP("electricity|SO2|Premature mortality", US_national_yearly!$D:$AM, 17, FALSE) / VLOOKUP("electricity|SO2|Premature mortality", US_national_yearly!$D:$AM, 10, FALSE), 1)</f>
        <v>7.703982913668054E-4</v>
      </c>
      <c r="J2" s="7">
        <f>$B2 * IFERROR(VLOOKUP("electricity|SO2|Premature mortality", US_national_yearly!$D:$AM, 18, FALSE) / VLOOKUP("electricity|SO2|Premature mortality", US_national_yearly!$D:$AM, 10, FALSE), 1)</f>
        <v>7.8186114051502801E-4</v>
      </c>
      <c r="K2" s="7">
        <f>$B2 * IFERROR(VLOOKUP("electricity|SO2|Premature mortality", US_national_yearly!$D:$AM, 19, FALSE) / VLOOKUP("electricity|SO2|Premature mortality", US_national_yearly!$D:$AM, 10, FALSE), 1)</f>
        <v>7.9332398966325041E-4</v>
      </c>
      <c r="L2" s="7">
        <f>$B2 * IFERROR(VLOOKUP("electricity|SO2|Premature mortality", US_national_yearly!$D:$AM, 20, FALSE) / VLOOKUP("electricity|SO2|Premature mortality", US_national_yearly!$D:$AM, 10, FALSE), 1)</f>
        <v>8.0478683881147312E-4</v>
      </c>
      <c r="M2" s="7">
        <f>$B2 * IFERROR(VLOOKUP("electricity|SO2|Premature mortality", US_national_yearly!$D:$AM, 21, FALSE) / VLOOKUP("electricity|SO2|Premature mortality", US_national_yearly!$D:$AM, 10, FALSE), 1)</f>
        <v>8.1624968795969562E-4</v>
      </c>
      <c r="N2" s="7">
        <f>$B2 * IFERROR(VLOOKUP("electricity|SO2|Premature mortality", US_national_yearly!$D:$AM, 22, FALSE) / VLOOKUP("electricity|SO2|Premature mortality", US_national_yearly!$D:$AM, 10, FALSE), 1)</f>
        <v>8.2543624791294324E-4</v>
      </c>
      <c r="O2" s="7">
        <f>$B2 * IFERROR(VLOOKUP("electricity|SO2|Premature mortality", US_national_yearly!$D:$AM, 23, FALSE) / VLOOKUP("electricity|SO2|Premature mortality", US_national_yearly!$D:$AM, 10, FALSE), 1)</f>
        <v>8.3462280786619108E-4</v>
      </c>
      <c r="P2" s="7">
        <f>$B2 * IFERROR(VLOOKUP("electricity|SO2|Premature mortality", US_national_yearly!$D:$AM, 24, FALSE) / VLOOKUP("electricity|SO2|Premature mortality", US_national_yearly!$D:$AM, 10, FALSE), 1)</f>
        <v>8.4380936781943859E-4</v>
      </c>
      <c r="Q2" s="7">
        <f>$B2 * IFERROR(VLOOKUP("electricity|SO2|Premature mortality", US_national_yearly!$D:$AM, 25, FALSE) / VLOOKUP("electricity|SO2|Premature mortality", US_national_yearly!$D:$AM, 10, FALSE), 1)</f>
        <v>8.5299592777268621E-4</v>
      </c>
      <c r="R2" s="7">
        <f>$B2 * IFERROR(VLOOKUP("electricity|SO2|Premature mortality", US_national_yearly!$D:$AM, 26, FALSE) / VLOOKUP("electricity|SO2|Premature mortality", US_national_yearly!$D:$AM, 10, FALSE), 1)</f>
        <v>8.6218248772593393E-4</v>
      </c>
      <c r="S2" s="7">
        <f>$B2 * IFERROR(VLOOKUP("electricity|SO2|Premature mortality", US_national_yearly!$D:$AM, 27, FALSE) / VLOOKUP("electricity|SO2|Premature mortality", US_national_yearly!$D:$AM, 10, FALSE), 1)</f>
        <v>8.6744941088237224E-4</v>
      </c>
      <c r="T2" s="7">
        <f>$B2 * IFERROR(VLOOKUP("electricity|SO2|Premature mortality", US_national_yearly!$D:$AM, 28, FALSE) / VLOOKUP("electricity|SO2|Premature mortality", US_national_yearly!$D:$AM, 10, FALSE), 1)</f>
        <v>8.7271633403881066E-4</v>
      </c>
      <c r="U2" s="7">
        <f>$B2 * IFERROR(VLOOKUP("electricity|SO2|Premature mortality", US_national_yearly!$D:$AM, 29, FALSE) / VLOOKUP("electricity|SO2|Premature mortality", US_national_yearly!$D:$AM, 10, FALSE), 1)</f>
        <v>8.7798325719524886E-4</v>
      </c>
      <c r="V2" s="7">
        <f>$B2 * IFERROR(VLOOKUP("electricity|SO2|Premature mortality", US_national_yearly!$D:$AM, 30, FALSE) / VLOOKUP("electricity|SO2|Premature mortality", US_national_yearly!$D:$AM, 10, FALSE), 1)</f>
        <v>8.8325018035168739E-4</v>
      </c>
      <c r="W2" s="7">
        <f>$B2 * IFERROR(VLOOKUP("electricity|SO2|Premature mortality", US_national_yearly!$D:$AM, 31, FALSE) / VLOOKUP("electricity|SO2|Premature mortality", US_national_yearly!$D:$AM, 10, FALSE), 1)</f>
        <v>8.8851710350812559E-4</v>
      </c>
      <c r="X2" s="7">
        <f>$B2 * IFERROR(VLOOKUP("electricity|SO2|Premature mortality", US_national_yearly!$D:$AM, 32, FALSE) / VLOOKUP("electricity|SO2|Premature mortality", US_national_yearly!$D:$AM, 10, FALSE), 1)</f>
        <v>8.9006897960174363E-4</v>
      </c>
      <c r="Y2" s="7">
        <f>$B2 * IFERROR(VLOOKUP("electricity|SO2|Premature mortality", US_national_yearly!$D:$AM, 33, FALSE) / VLOOKUP("electricity|SO2|Premature mortality", US_national_yearly!$D:$AM, 10, FALSE), 1)</f>
        <v>8.9162085569536144E-4</v>
      </c>
      <c r="Z2" s="7">
        <f>$B2 * IFERROR(VLOOKUP("electricity|SO2|Premature mortality", US_national_yearly!$D:$AM, 34, FALSE) / VLOOKUP("electricity|SO2|Premature mortality", US_national_yearly!$D:$AM, 10, FALSE), 1)</f>
        <v>8.9317273178897926E-4</v>
      </c>
      <c r="AA2" s="7">
        <f>$B2 * IFERROR(VLOOKUP("electricity|SO2|Premature mortality", US_national_yearly!$D:$AM, 35, FALSE) / VLOOKUP("electricity|SO2|Premature mortality", US_national_yearly!$D:$AM, 10, FALSE), 1)</f>
        <v>8.9472460788259729E-4</v>
      </c>
      <c r="AB2" s="7">
        <f>$B2 * IFERROR(VLOOKUP("electricity|SO2|Premature mortality", US_national_yearly!$D:$AM, 36, FALSE) / VLOOKUP("electricity|SO2|Premature mortality", US_national_yearly!$D:$AM, 10, FALSE), 1)</f>
        <v>8.9627648397621511E-4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2.3868571439419507E-6</v>
      </c>
      <c r="C3" s="7">
        <f>$B3 * IFERROR(VLOOKUP("electricity|SO2|Infant mortality", US_national_yearly!$D:$AM, 11, FALSE) / VLOOKUP("electricity|SO2|Infant mortality", US_national_yearly!$D:$AM, 10, FALSE), 1)</f>
        <v>2.3666927393630614E-6</v>
      </c>
      <c r="D3" s="7">
        <f>$B3 * IFERROR(VLOOKUP("electricity|SO2|Infant mortality", US_national_yearly!$D:$AM, 12, FALSE) / VLOOKUP("electricity|SO2|Infant mortality", US_national_yearly!$D:$AM, 10, FALSE), 1)</f>
        <v>2.3465283347841721E-6</v>
      </c>
      <c r="E3" s="7">
        <f>$B3 * IFERROR(VLOOKUP("electricity|SO2|Infant mortality", US_national_yearly!$D:$AM, 13, FALSE) / VLOOKUP("electricity|SO2|Infant mortality", US_national_yearly!$D:$AM, 10, FALSE), 1)</f>
        <v>2.3263639302052828E-6</v>
      </c>
      <c r="F3" s="7">
        <f>$B3 * IFERROR(VLOOKUP("electricity|SO2|Infant mortality", US_national_yearly!$D:$AM, 14, FALSE) / VLOOKUP("electricity|SO2|Infant mortality", US_national_yearly!$D:$AM, 10, FALSE), 1)</f>
        <v>2.3061995256263939E-6</v>
      </c>
      <c r="G3" s="7">
        <f>$B3 * IFERROR(VLOOKUP("electricity|SO2|Infant mortality", US_national_yearly!$D:$AM, 15, FALSE) / VLOOKUP("electricity|SO2|Infant mortality", US_national_yearly!$D:$AM, 10, FALSE), 1)</f>
        <v>1.5337421485983987E-6</v>
      </c>
      <c r="H3" s="7">
        <f>$B3 * IFERROR(VLOOKUP("electricity|SO2|Infant mortality", US_national_yearly!$D:$AM, 16, FALSE) / VLOOKUP("electricity|SO2|Infant mortality", US_national_yearly!$D:$AM, 10, FALSE), 1)</f>
        <v>7.6128477157040347E-7</v>
      </c>
      <c r="I3" s="7">
        <f>$B3 * IFERROR(VLOOKUP("electricity|SO2|Infant mortality", US_national_yearly!$D:$AM, 17, FALSE) / VLOOKUP("electricity|SO2|Infant mortality", US_national_yearly!$D:$AM, 10, FALSE), 1)</f>
        <v>7.5641446698309072E-7</v>
      </c>
      <c r="J3" s="7">
        <f>$B3 * IFERROR(VLOOKUP("electricity|SO2|Infant mortality", US_national_yearly!$D:$AM, 18, FALSE) / VLOOKUP("electricity|SO2|Infant mortality", US_national_yearly!$D:$AM, 10, FALSE), 1)</f>
        <v>7.5154416239577797E-7</v>
      </c>
      <c r="K3" s="7">
        <f>$B3 * IFERROR(VLOOKUP("electricity|SO2|Infant mortality", US_national_yearly!$D:$AM, 19, FALSE) / VLOOKUP("electricity|SO2|Infant mortality", US_national_yearly!$D:$AM, 10, FALSE), 1)</f>
        <v>7.4667385780846533E-7</v>
      </c>
      <c r="L3" s="7">
        <f>$B3 * IFERROR(VLOOKUP("electricity|SO2|Infant mortality", US_national_yearly!$D:$AM, 20, FALSE) / VLOOKUP("electricity|SO2|Infant mortality", US_national_yearly!$D:$AM, 10, FALSE), 1)</f>
        <v>7.4180355322115248E-7</v>
      </c>
      <c r="M3" s="7">
        <f>$B3 * IFERROR(VLOOKUP("electricity|SO2|Infant mortality", US_national_yearly!$D:$AM, 21, FALSE) / VLOOKUP("electricity|SO2|Infant mortality", US_national_yearly!$D:$AM, 10, FALSE), 1)</f>
        <v>7.3693324863383983E-7</v>
      </c>
      <c r="N3" s="7">
        <f>$B3 * IFERROR(VLOOKUP("electricity|SO2|Infant mortality", US_national_yearly!$D:$AM, 22, FALSE) / VLOOKUP("electricity|SO2|Infant mortality", US_national_yearly!$D:$AM, 10, FALSE), 1)</f>
        <v>7.3384720782936713E-7</v>
      </c>
      <c r="O3" s="7">
        <f>$B3 * IFERROR(VLOOKUP("electricity|SO2|Infant mortality", US_national_yearly!$D:$AM, 23, FALSE) / VLOOKUP("electricity|SO2|Infant mortality", US_national_yearly!$D:$AM, 10, FALSE), 1)</f>
        <v>7.3076116702489431E-7</v>
      </c>
      <c r="P3" s="7">
        <f>$B3 * IFERROR(VLOOKUP("electricity|SO2|Infant mortality", US_national_yearly!$D:$AM, 24, FALSE) / VLOOKUP("electricity|SO2|Infant mortality", US_national_yearly!$D:$AM, 10, FALSE), 1)</f>
        <v>7.2767512622042149E-7</v>
      </c>
      <c r="Q3" s="7">
        <f>$B3 * IFERROR(VLOOKUP("electricity|SO2|Infant mortality", US_national_yearly!$D:$AM, 25, FALSE) / VLOOKUP("electricity|SO2|Infant mortality", US_national_yearly!$D:$AM, 10, FALSE), 1)</f>
        <v>7.2458908541594878E-7</v>
      </c>
      <c r="R3" s="7">
        <f>$B3 * IFERROR(VLOOKUP("electricity|SO2|Infant mortality", US_national_yearly!$D:$AM, 26, FALSE) / VLOOKUP("electricity|SO2|Infant mortality", US_national_yearly!$D:$AM, 10, FALSE), 1)</f>
        <v>7.2150304461147618E-7</v>
      </c>
      <c r="S3" s="7">
        <f>$B3 * IFERROR(VLOOKUP("electricity|SO2|Infant mortality", US_national_yearly!$D:$AM, 27, FALSE) / VLOOKUP("electricity|SO2|Infant mortality", US_national_yearly!$D:$AM, 10, FALSE), 1)</f>
        <v>7.1765668578345362E-7</v>
      </c>
      <c r="T3" s="7">
        <f>$B3 * IFERROR(VLOOKUP("electricity|SO2|Infant mortality", US_national_yearly!$D:$AM, 28, FALSE) / VLOOKUP("electricity|SO2|Infant mortality", US_national_yearly!$D:$AM, 10, FALSE), 1)</f>
        <v>7.1381032695543117E-7</v>
      </c>
      <c r="U3" s="7">
        <f>$B3 * IFERROR(VLOOKUP("electricity|SO2|Infant mortality", US_national_yearly!$D:$AM, 29, FALSE) / VLOOKUP("electricity|SO2|Infant mortality", US_national_yearly!$D:$AM, 10, FALSE), 1)</f>
        <v>7.0996396812740882E-7</v>
      </c>
      <c r="V3" s="7">
        <f>$B3 * IFERROR(VLOOKUP("electricity|SO2|Infant mortality", US_national_yearly!$D:$AM, 30, FALSE) / VLOOKUP("electricity|SO2|Infant mortality", US_national_yearly!$D:$AM, 10, FALSE), 1)</f>
        <v>7.0611760929938637E-7</v>
      </c>
      <c r="W3" s="7">
        <f>$B3 * IFERROR(VLOOKUP("electricity|SO2|Infant mortality", US_national_yearly!$D:$AM, 31, FALSE) / VLOOKUP("electricity|SO2|Infant mortality", US_national_yearly!$D:$AM, 10, FALSE), 1)</f>
        <v>7.0227125047136392E-7</v>
      </c>
      <c r="X3" s="7">
        <f>$B3 * IFERROR(VLOOKUP("electricity|SO2|Infant mortality", US_national_yearly!$D:$AM, 32, FALSE) / VLOOKUP("electricity|SO2|Infant mortality", US_national_yearly!$D:$AM, 10, FALSE), 1)</f>
        <v>6.9816729823831632E-7</v>
      </c>
      <c r="Y3" s="7">
        <f>$B3 * IFERROR(VLOOKUP("electricity|SO2|Infant mortality", US_national_yearly!$D:$AM, 33, FALSE) / VLOOKUP("electricity|SO2|Infant mortality", US_national_yearly!$D:$AM, 10, FALSE), 1)</f>
        <v>6.9406334600526841E-7</v>
      </c>
      <c r="Z3" s="7">
        <f>$B3 * IFERROR(VLOOKUP("electricity|SO2|Infant mortality", US_national_yearly!$D:$AM, 34, FALSE) / VLOOKUP("electricity|SO2|Infant mortality", US_national_yearly!$D:$AM, 10, FALSE), 1)</f>
        <v>6.8995939377222081E-7</v>
      </c>
      <c r="AA3" s="7">
        <f>$B3 * IFERROR(VLOOKUP("electricity|SO2|Infant mortality", US_national_yearly!$D:$AM, 35, FALSE) / VLOOKUP("electricity|SO2|Infant mortality", US_national_yearly!$D:$AM, 10, FALSE), 1)</f>
        <v>6.8585544153917322E-7</v>
      </c>
      <c r="AB3" s="7">
        <f>$B3 * IFERROR(VLOOKUP("electricity|SO2|Infant mortality", US_national_yearly!$D:$AM, 36, FALSE) / VLOOKUP("electricity|SO2|Infant mortality", US_national_yearly!$D:$AM, 10, FALSE), 1)</f>
        <v>6.8175148930612552E-7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2.4321186188151459E-3</v>
      </c>
      <c r="C6" s="7">
        <f>$B6 * IFERROR(VLOOKUP("electricity|SO2|Asthma symptoms cough", US_national_yearly!$D:$AM, 11, FALSE) / VLOOKUP("electricity|SO2|Asthma symptoms cough", US_national_yearly!$D:$AM, 10, FALSE), 1)</f>
        <v>2.4321186188151459E-3</v>
      </c>
      <c r="D6" s="7">
        <f>$B6 * IFERROR(VLOOKUP("electricity|SO2|Asthma symptoms cough", US_national_yearly!$D:$AM, 12, FALSE) / VLOOKUP("electricity|SO2|Asthma symptoms cough", US_national_yearly!$D:$AM, 10, FALSE), 1)</f>
        <v>2.4321186188151459E-3</v>
      </c>
      <c r="E6" s="7">
        <f>$B6 * IFERROR(VLOOKUP("electricity|SO2|Asthma symptoms cough", US_national_yearly!$D:$AM, 13, FALSE) / VLOOKUP("electricity|SO2|Asthma symptoms cough", US_national_yearly!$D:$AM, 10, FALSE), 1)</f>
        <v>2.4321186188151459E-3</v>
      </c>
      <c r="F6" s="7">
        <f>$B6 * IFERROR(VLOOKUP("electricity|SO2|Asthma symptoms cough", US_national_yearly!$D:$AM, 14, FALSE) / VLOOKUP("electricity|SO2|Asthma symptoms cough", US_national_yearly!$D:$AM, 10, FALSE), 1)</f>
        <v>2.4321186188151459E-3</v>
      </c>
      <c r="G6" s="7">
        <f>$B6 * IFERROR(VLOOKUP("electricity|SO2|Asthma symptoms cough", US_national_yearly!$D:$AM, 15, FALSE) / VLOOKUP("electricity|SO2|Asthma symptoms cough", US_national_yearly!$D:$AM, 10, FALSE), 1)</f>
        <v>2.4321186188151459E-3</v>
      </c>
      <c r="H6" s="7">
        <f>$B6 * IFERROR(VLOOKUP("electricity|SO2|Asthma symptoms cough", US_national_yearly!$D:$AM, 16, FALSE) / VLOOKUP("electricity|SO2|Asthma symptoms cough", US_national_yearly!$D:$AM, 10, FALSE), 1)</f>
        <v>2.4321186188151459E-3</v>
      </c>
      <c r="I6" s="7">
        <f>$B6 * IFERROR(VLOOKUP("electricity|SO2|Asthma symptoms cough", US_national_yearly!$D:$AM, 17, FALSE) / VLOOKUP("electricity|SO2|Asthma symptoms cough", US_national_yearly!$D:$AM, 10, FALSE), 1)</f>
        <v>2.4321186188151459E-3</v>
      </c>
      <c r="J6" s="7">
        <f>$B6 * IFERROR(VLOOKUP("electricity|SO2|Asthma symptoms cough", US_national_yearly!$D:$AM, 18, FALSE) / VLOOKUP("electricity|SO2|Asthma symptoms cough", US_national_yearly!$D:$AM, 10, FALSE), 1)</f>
        <v>2.4321186188151459E-3</v>
      </c>
      <c r="K6" s="7">
        <f>$B6 * IFERROR(VLOOKUP("electricity|SO2|Asthma symptoms cough", US_national_yearly!$D:$AM, 19, FALSE) / VLOOKUP("electricity|SO2|Asthma symptoms cough", US_national_yearly!$D:$AM, 10, FALSE), 1)</f>
        <v>2.4321186188151459E-3</v>
      </c>
      <c r="L6" s="7">
        <f>$B6 * IFERROR(VLOOKUP("electricity|SO2|Asthma symptoms cough", US_national_yearly!$D:$AM, 20, FALSE) / VLOOKUP("electricity|SO2|Asthma symptoms cough", US_national_yearly!$D:$AM, 10, FALSE), 1)</f>
        <v>2.4321186188151459E-3</v>
      </c>
      <c r="M6" s="7">
        <f>$B6 * IFERROR(VLOOKUP("electricity|SO2|Asthma symptoms cough", US_national_yearly!$D:$AM, 21, FALSE) / VLOOKUP("electricity|SO2|Asthma symptoms cough", US_national_yearly!$D:$AM, 10, FALSE), 1)</f>
        <v>2.4321186188151459E-3</v>
      </c>
      <c r="N6" s="7">
        <f>$B6 * IFERROR(VLOOKUP("electricity|SO2|Asthma symptoms cough", US_national_yearly!$D:$AM, 22, FALSE) / VLOOKUP("electricity|SO2|Asthma symptoms cough", US_national_yearly!$D:$AM, 10, FALSE), 1)</f>
        <v>2.4321186188151459E-3</v>
      </c>
      <c r="O6" s="7">
        <f>$B6 * IFERROR(VLOOKUP("electricity|SO2|Asthma symptoms cough", US_national_yearly!$D:$AM, 23, FALSE) / VLOOKUP("electricity|SO2|Asthma symptoms cough", US_national_yearly!$D:$AM, 10, FALSE), 1)</f>
        <v>2.4321186188151459E-3</v>
      </c>
      <c r="P6" s="7">
        <f>$B6 * IFERROR(VLOOKUP("electricity|SO2|Asthma symptoms cough", US_national_yearly!$D:$AM, 24, FALSE) / VLOOKUP("electricity|SO2|Asthma symptoms cough", US_national_yearly!$D:$AM, 10, FALSE), 1)</f>
        <v>2.4321186188151459E-3</v>
      </c>
      <c r="Q6" s="7">
        <f>$B6 * IFERROR(VLOOKUP("electricity|SO2|Asthma symptoms cough", US_national_yearly!$D:$AM, 25, FALSE) / VLOOKUP("electricity|SO2|Asthma symptoms cough", US_national_yearly!$D:$AM, 10, FALSE), 1)</f>
        <v>2.4321186188151459E-3</v>
      </c>
      <c r="R6" s="7">
        <f>$B6 * IFERROR(VLOOKUP("electricity|SO2|Asthma symptoms cough", US_national_yearly!$D:$AM, 26, FALSE) / VLOOKUP("electricity|SO2|Asthma symptoms cough", US_national_yearly!$D:$AM, 10, FALSE), 1)</f>
        <v>2.4321186188151459E-3</v>
      </c>
      <c r="S6" s="7">
        <f>$B6 * IFERROR(VLOOKUP("electricity|SO2|Asthma symptoms cough", US_national_yearly!$D:$AM, 27, FALSE) / VLOOKUP("electricity|SO2|Asthma symptoms cough", US_national_yearly!$D:$AM, 10, FALSE), 1)</f>
        <v>2.4321186188151459E-3</v>
      </c>
      <c r="T6" s="7">
        <f>$B6 * IFERROR(VLOOKUP("electricity|SO2|Asthma symptoms cough", US_national_yearly!$D:$AM, 28, FALSE) / VLOOKUP("electricity|SO2|Asthma symptoms cough", US_national_yearly!$D:$AM, 10, FALSE), 1)</f>
        <v>2.4321186188151459E-3</v>
      </c>
      <c r="U6" s="7">
        <f>$B6 * IFERROR(VLOOKUP("electricity|SO2|Asthma symptoms cough", US_national_yearly!$D:$AM, 29, FALSE) / VLOOKUP("electricity|SO2|Asthma symptoms cough", US_national_yearly!$D:$AM, 10, FALSE), 1)</f>
        <v>2.4321186188151459E-3</v>
      </c>
      <c r="V6" s="7">
        <f>$B6 * IFERROR(VLOOKUP("electricity|SO2|Asthma symptoms cough", US_national_yearly!$D:$AM, 30, FALSE) / VLOOKUP("electricity|SO2|Asthma symptoms cough", US_national_yearly!$D:$AM, 10, FALSE), 1)</f>
        <v>2.4321186188151459E-3</v>
      </c>
      <c r="W6" s="7">
        <f>$B6 * IFERROR(VLOOKUP("electricity|SO2|Asthma symptoms cough", US_national_yearly!$D:$AM, 31, FALSE) / VLOOKUP("electricity|SO2|Asthma symptoms cough", US_national_yearly!$D:$AM, 10, FALSE), 1)</f>
        <v>2.4321186188151459E-3</v>
      </c>
      <c r="X6" s="7">
        <f>$B6 * IFERROR(VLOOKUP("electricity|SO2|Asthma symptoms cough", US_national_yearly!$D:$AM, 32, FALSE) / VLOOKUP("electricity|SO2|Asthma symptoms cough", US_national_yearly!$D:$AM, 10, FALSE), 1)</f>
        <v>2.4321186188151459E-3</v>
      </c>
      <c r="Y6" s="7">
        <f>$B6 * IFERROR(VLOOKUP("electricity|SO2|Asthma symptoms cough", US_national_yearly!$D:$AM, 33, FALSE) / VLOOKUP("electricity|SO2|Asthma symptoms cough", US_national_yearly!$D:$AM, 10, FALSE), 1)</f>
        <v>2.4321186188151459E-3</v>
      </c>
      <c r="Z6" s="7">
        <f>$B6 * IFERROR(VLOOKUP("electricity|SO2|Asthma symptoms cough", US_national_yearly!$D:$AM, 34, FALSE) / VLOOKUP("electricity|SO2|Asthma symptoms cough", US_national_yearly!$D:$AM, 10, FALSE), 1)</f>
        <v>2.4321186188151459E-3</v>
      </c>
      <c r="AA6" s="7">
        <f>$B6 * IFERROR(VLOOKUP("electricity|SO2|Asthma symptoms cough", US_national_yearly!$D:$AM, 35, FALSE) / VLOOKUP("electricity|SO2|Asthma symptoms cough", US_national_yearly!$D:$AM, 10, FALSE), 1)</f>
        <v>2.4321186188151459E-3</v>
      </c>
      <c r="AB6" s="7">
        <f>$B6 * IFERROR(VLOOKUP("electricity|SO2|Asthma symptoms cough", US_national_yearly!$D:$AM, 36, FALSE) / VLOOKUP("electricity|SO2|Asthma symptoms cough", US_national_yearly!$D:$AM, 10, FALSE), 1)</f>
        <v>2.4321186188151459E-3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3.2751886657422639E-3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3.2751886657422639E-3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3.2751886657422639E-3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3.2751886657422639E-3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3.2751886657422639E-3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3.2751886657422639E-3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3.2751886657422639E-3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3.2751886657422639E-3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3.2751886657422639E-3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3.2751886657422639E-3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3.2751886657422639E-3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3.2751886657422639E-3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3.2751886657422639E-3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3.2751886657422639E-3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3.2751886657422639E-3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3.2751886657422639E-3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3.2751886657422639E-3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3.2751886657422639E-3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3.2751886657422639E-3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3.2751886657422639E-3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3.2751886657422639E-3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3.2751886657422639E-3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3.2751886657422639E-3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3.2751886657422639E-3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3.2751886657422639E-3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3.2751886657422639E-3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3.2751886657422639E-3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5.0039758966419863E-3</v>
      </c>
      <c r="C8" s="7">
        <f>$B8 * IFERROR(VLOOKUP("electricity|SO2|Asthma symptoms wheeze", US_national_yearly!$D:$AM, 11, FALSE) / VLOOKUP("electricity|SO2|Asthma symptoms wheeze", US_national_yearly!$D:$AM, 10, FALSE), 1)</f>
        <v>5.0039758966419863E-3</v>
      </c>
      <c r="D8" s="7">
        <f>$B8 * IFERROR(VLOOKUP("electricity|SO2|Asthma symptoms wheeze", US_national_yearly!$D:$AM, 12, FALSE) / VLOOKUP("electricity|SO2|Asthma symptoms wheeze", US_national_yearly!$D:$AM, 10, FALSE), 1)</f>
        <v>5.0039758966419863E-3</v>
      </c>
      <c r="E8" s="7">
        <f>$B8 * IFERROR(VLOOKUP("electricity|SO2|Asthma symptoms wheeze", US_national_yearly!$D:$AM, 13, FALSE) / VLOOKUP("electricity|SO2|Asthma symptoms wheeze", US_national_yearly!$D:$AM, 10, FALSE), 1)</f>
        <v>5.0039758966419863E-3</v>
      </c>
      <c r="F8" s="7">
        <f>$B8 * IFERROR(VLOOKUP("electricity|SO2|Asthma symptoms wheeze", US_national_yearly!$D:$AM, 14, FALSE) / VLOOKUP("electricity|SO2|Asthma symptoms wheeze", US_national_yearly!$D:$AM, 10, FALSE), 1)</f>
        <v>5.0039758966419863E-3</v>
      </c>
      <c r="G8" s="7">
        <f>$B8 * IFERROR(VLOOKUP("electricity|SO2|Asthma symptoms wheeze", US_national_yearly!$D:$AM, 15, FALSE) / VLOOKUP("electricity|SO2|Asthma symptoms wheeze", US_national_yearly!$D:$AM, 10, FALSE), 1)</f>
        <v>5.0039758966419863E-3</v>
      </c>
      <c r="H8" s="7">
        <f>$B8 * IFERROR(VLOOKUP("electricity|SO2|Asthma symptoms wheeze", US_national_yearly!$D:$AM, 16, FALSE) / VLOOKUP("electricity|SO2|Asthma symptoms wheeze", US_national_yearly!$D:$AM, 10, FALSE), 1)</f>
        <v>5.0039758966419863E-3</v>
      </c>
      <c r="I8" s="7">
        <f>$B8 * IFERROR(VLOOKUP("electricity|SO2|Asthma symptoms wheeze", US_national_yearly!$D:$AM, 17, FALSE) / VLOOKUP("electricity|SO2|Asthma symptoms wheeze", US_national_yearly!$D:$AM, 10, FALSE), 1)</f>
        <v>5.0039758966419863E-3</v>
      </c>
      <c r="J8" s="7">
        <f>$B8 * IFERROR(VLOOKUP("electricity|SO2|Asthma symptoms wheeze", US_national_yearly!$D:$AM, 18, FALSE) / VLOOKUP("electricity|SO2|Asthma symptoms wheeze", US_national_yearly!$D:$AM, 10, FALSE), 1)</f>
        <v>5.0039758966419863E-3</v>
      </c>
      <c r="K8" s="7">
        <f>$B8 * IFERROR(VLOOKUP("electricity|SO2|Asthma symptoms wheeze", US_national_yearly!$D:$AM, 19, FALSE) / VLOOKUP("electricity|SO2|Asthma symptoms wheeze", US_national_yearly!$D:$AM, 10, FALSE), 1)</f>
        <v>5.0039758966419863E-3</v>
      </c>
      <c r="L8" s="7">
        <f>$B8 * IFERROR(VLOOKUP("electricity|SO2|Asthma symptoms wheeze", US_national_yearly!$D:$AM, 20, FALSE) / VLOOKUP("electricity|SO2|Asthma symptoms wheeze", US_national_yearly!$D:$AM, 10, FALSE), 1)</f>
        <v>5.0039758966419863E-3</v>
      </c>
      <c r="M8" s="7">
        <f>$B8 * IFERROR(VLOOKUP("electricity|SO2|Asthma symptoms wheeze", US_national_yearly!$D:$AM, 21, FALSE) / VLOOKUP("electricity|SO2|Asthma symptoms wheeze", US_national_yearly!$D:$AM, 10, FALSE), 1)</f>
        <v>5.0039758966419863E-3</v>
      </c>
      <c r="N8" s="7">
        <f>$B8 * IFERROR(VLOOKUP("electricity|SO2|Asthma symptoms wheeze", US_national_yearly!$D:$AM, 22, FALSE) / VLOOKUP("electricity|SO2|Asthma symptoms wheeze", US_national_yearly!$D:$AM, 10, FALSE), 1)</f>
        <v>5.0039758966419863E-3</v>
      </c>
      <c r="O8" s="7">
        <f>$B8 * IFERROR(VLOOKUP("electricity|SO2|Asthma symptoms wheeze", US_national_yearly!$D:$AM, 23, FALSE) / VLOOKUP("electricity|SO2|Asthma symptoms wheeze", US_national_yearly!$D:$AM, 10, FALSE), 1)</f>
        <v>5.0039758966419863E-3</v>
      </c>
      <c r="P8" s="7">
        <f>$B8 * IFERROR(VLOOKUP("electricity|SO2|Asthma symptoms wheeze", US_national_yearly!$D:$AM, 24, FALSE) / VLOOKUP("electricity|SO2|Asthma symptoms wheeze", US_national_yearly!$D:$AM, 10, FALSE), 1)</f>
        <v>5.0039758966419863E-3</v>
      </c>
      <c r="Q8" s="7">
        <f>$B8 * IFERROR(VLOOKUP("electricity|SO2|Asthma symptoms wheeze", US_national_yearly!$D:$AM, 25, FALSE) / VLOOKUP("electricity|SO2|Asthma symptoms wheeze", US_national_yearly!$D:$AM, 10, FALSE), 1)</f>
        <v>5.0039758966419863E-3</v>
      </c>
      <c r="R8" s="7">
        <f>$B8 * IFERROR(VLOOKUP("electricity|SO2|Asthma symptoms wheeze", US_national_yearly!$D:$AM, 26, FALSE) / VLOOKUP("electricity|SO2|Asthma symptoms wheeze", US_national_yearly!$D:$AM, 10, FALSE), 1)</f>
        <v>5.0039758966419863E-3</v>
      </c>
      <c r="S8" s="7">
        <f>$B8 * IFERROR(VLOOKUP("electricity|SO2|Asthma symptoms wheeze", US_national_yearly!$D:$AM, 27, FALSE) / VLOOKUP("electricity|SO2|Asthma symptoms wheeze", US_national_yearly!$D:$AM, 10, FALSE), 1)</f>
        <v>5.0039758966419863E-3</v>
      </c>
      <c r="T8" s="7">
        <f>$B8 * IFERROR(VLOOKUP("electricity|SO2|Asthma symptoms wheeze", US_national_yearly!$D:$AM, 28, FALSE) / VLOOKUP("electricity|SO2|Asthma symptoms wheeze", US_national_yearly!$D:$AM, 10, FALSE), 1)</f>
        <v>5.0039758966419863E-3</v>
      </c>
      <c r="U8" s="7">
        <f>$B8 * IFERROR(VLOOKUP("electricity|SO2|Asthma symptoms wheeze", US_national_yearly!$D:$AM, 29, FALSE) / VLOOKUP("electricity|SO2|Asthma symptoms wheeze", US_national_yearly!$D:$AM, 10, FALSE), 1)</f>
        <v>5.0039758966419863E-3</v>
      </c>
      <c r="V8" s="7">
        <f>$B8 * IFERROR(VLOOKUP("electricity|SO2|Asthma symptoms wheeze", US_national_yearly!$D:$AM, 30, FALSE) / VLOOKUP("electricity|SO2|Asthma symptoms wheeze", US_national_yearly!$D:$AM, 10, FALSE), 1)</f>
        <v>5.0039758966419863E-3</v>
      </c>
      <c r="W8" s="7">
        <f>$B8 * IFERROR(VLOOKUP("electricity|SO2|Asthma symptoms wheeze", US_national_yearly!$D:$AM, 31, FALSE) / VLOOKUP("electricity|SO2|Asthma symptoms wheeze", US_national_yearly!$D:$AM, 10, FALSE), 1)</f>
        <v>5.0039758966419863E-3</v>
      </c>
      <c r="X8" s="7">
        <f>$B8 * IFERROR(VLOOKUP("electricity|SO2|Asthma symptoms wheeze", US_national_yearly!$D:$AM, 32, FALSE) / VLOOKUP("electricity|SO2|Asthma symptoms wheeze", US_national_yearly!$D:$AM, 10, FALSE), 1)</f>
        <v>5.0039758966419863E-3</v>
      </c>
      <c r="Y8" s="7">
        <f>$B8 * IFERROR(VLOOKUP("electricity|SO2|Asthma symptoms wheeze", US_national_yearly!$D:$AM, 33, FALSE) / VLOOKUP("electricity|SO2|Asthma symptoms wheeze", US_national_yearly!$D:$AM, 10, FALSE), 1)</f>
        <v>5.0039758966419863E-3</v>
      </c>
      <c r="Z8" s="7">
        <f>$B8 * IFERROR(VLOOKUP("electricity|SO2|Asthma symptoms wheeze", US_national_yearly!$D:$AM, 34, FALSE) / VLOOKUP("electricity|SO2|Asthma symptoms wheeze", US_national_yearly!$D:$AM, 10, FALSE), 1)</f>
        <v>5.0039758966419863E-3</v>
      </c>
      <c r="AA8" s="7">
        <f>$B8 * IFERROR(VLOOKUP("electricity|SO2|Asthma symptoms wheeze", US_national_yearly!$D:$AM, 35, FALSE) / VLOOKUP("electricity|SO2|Asthma symptoms wheeze", US_national_yearly!$D:$AM, 10, FALSE), 1)</f>
        <v>5.0039758966419863E-3</v>
      </c>
      <c r="AB8" s="7">
        <f>$B8 * IFERROR(VLOOKUP("electricity|SO2|Asthma symptoms wheeze", US_national_yearly!$D:$AM, 36, FALSE) / VLOOKUP("electricity|SO2|Asthma symptoms wheeze", US_national_yearly!$D:$AM, 10, FALSE), 1)</f>
        <v>5.0039758966419863E-3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5.1318441083079375E-5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5.162068776031016E-5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5.1922934437540951E-5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5.2225181114771735E-5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5.2527427792002526E-5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5.2856784655216808E-5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5.3186141518431104E-5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5.3502987634135116E-5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5.3819833749839142E-5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5.4136679865543174E-5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5.4453525981247186E-5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5.4770372096951212E-5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5.4997633269311951E-5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5.5224894441672697E-5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5.5452155614033436E-5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5.5679416786394175E-5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5.5906677958754921E-5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5.6121179052808191E-5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5.6335680146861481E-5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5.6550181240914752E-5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5.6764682334968042E-5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5.6979183429021326E-5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5.7184960107391742E-5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5.739073678576218E-5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5.7596513464132617E-5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5.7802290142503034E-5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5.8008066820873471E-5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3.1111382392748729E-4</v>
      </c>
      <c r="C13" s="7">
        <f>$B13 * IFERROR(VLOOKUP("electricity|SO2|Non-fatal heart attacks", US_national_yearly!$D:$AM, 11, FALSE) / VLOOKUP("electricity|SO2|Non-fatal heart attacks", US_national_yearly!$D:$AM, 10, FALSE), 1)</f>
        <v>3.2027785879598479E-4</v>
      </c>
      <c r="D13" s="7">
        <f>$B13 * IFERROR(VLOOKUP("electricity|SO2|Non-fatal heart attacks", US_national_yearly!$D:$AM, 12, FALSE) / VLOOKUP("electricity|SO2|Non-fatal heart attacks", US_national_yearly!$D:$AM, 10, FALSE), 1)</f>
        <v>3.2944189366448213E-4</v>
      </c>
      <c r="E13" s="7">
        <f>$B13 * IFERROR(VLOOKUP("electricity|SO2|Non-fatal heart attacks", US_national_yearly!$D:$AM, 13, FALSE) / VLOOKUP("electricity|SO2|Non-fatal heart attacks", US_national_yearly!$D:$AM, 10, FALSE), 1)</f>
        <v>3.3860592853297963E-4</v>
      </c>
      <c r="F13" s="7">
        <f>$B13 * IFERROR(VLOOKUP("electricity|SO2|Non-fatal heart attacks", US_national_yearly!$D:$AM, 14, FALSE) / VLOOKUP("electricity|SO2|Non-fatal heart attacks", US_national_yearly!$D:$AM, 10, FALSE), 1)</f>
        <v>3.4776996340147703E-4</v>
      </c>
      <c r="G13" s="7">
        <f>$B13 * IFERROR(VLOOKUP("electricity|SO2|Non-fatal heart attacks", US_national_yearly!$D:$AM, 15, FALSE) / VLOOKUP("electricity|SO2|Non-fatal heart attacks", US_national_yearly!$D:$AM, 10, FALSE), 1)</f>
        <v>3.5646690744080284E-4</v>
      </c>
      <c r="H13" s="7">
        <f>$B13 * IFERROR(VLOOKUP("electricity|SO2|Non-fatal heart attacks", US_national_yearly!$D:$AM, 16, FALSE) / VLOOKUP("electricity|SO2|Non-fatal heart attacks", US_national_yearly!$D:$AM, 10, FALSE), 1)</f>
        <v>3.651638514801287E-4</v>
      </c>
      <c r="I13" s="7">
        <f>$B13 * IFERROR(VLOOKUP("electricity|SO2|Non-fatal heart attacks", US_national_yearly!$D:$AM, 17, FALSE) / VLOOKUP("electricity|SO2|Non-fatal heart attacks", US_national_yearly!$D:$AM, 10, FALSE), 1)</f>
        <v>3.7224651693253157E-4</v>
      </c>
      <c r="J13" s="7">
        <f>$B13 * IFERROR(VLOOKUP("electricity|SO2|Non-fatal heart attacks", US_national_yearly!$D:$AM, 18, FALSE) / VLOOKUP("electricity|SO2|Non-fatal heart attacks", US_national_yearly!$D:$AM, 10, FALSE), 1)</f>
        <v>3.7932918238493438E-4</v>
      </c>
      <c r="K13" s="7">
        <f>$B13 * IFERROR(VLOOKUP("electricity|SO2|Non-fatal heart attacks", US_national_yearly!$D:$AM, 19, FALSE) / VLOOKUP("electricity|SO2|Non-fatal heart attacks", US_national_yearly!$D:$AM, 10, FALSE), 1)</f>
        <v>3.8641184783733725E-4</v>
      </c>
      <c r="L13" s="7">
        <f>$B13 * IFERROR(VLOOKUP("electricity|SO2|Non-fatal heart attacks", US_national_yearly!$D:$AM, 20, FALSE) / VLOOKUP("electricity|SO2|Non-fatal heart attacks", US_national_yearly!$D:$AM, 10, FALSE), 1)</f>
        <v>3.9349451328974007E-4</v>
      </c>
      <c r="M13" s="7">
        <f>$B13 * IFERROR(VLOOKUP("electricity|SO2|Non-fatal heart attacks", US_national_yearly!$D:$AM, 21, FALSE) / VLOOKUP("electricity|SO2|Non-fatal heart attacks", US_national_yearly!$D:$AM, 10, FALSE), 1)</f>
        <v>4.0057717874214294E-4</v>
      </c>
      <c r="N13" s="7">
        <f>$B13 * IFERROR(VLOOKUP("electricity|SO2|Non-fatal heart attacks", US_national_yearly!$D:$AM, 22, FALSE) / VLOOKUP("electricity|SO2|Non-fatal heart attacks", US_national_yearly!$D:$AM, 10, FALSE), 1)</f>
        <v>4.0524786316711609E-4</v>
      </c>
      <c r="O13" s="7">
        <f>$B13 * IFERROR(VLOOKUP("electricity|SO2|Non-fatal heart attacks", US_national_yearly!$D:$AM, 23, FALSE) / VLOOKUP("electricity|SO2|Non-fatal heart attacks", US_national_yearly!$D:$AM, 10, FALSE), 1)</f>
        <v>4.0991854759208913E-4</v>
      </c>
      <c r="P13" s="7">
        <f>$B13 * IFERROR(VLOOKUP("electricity|SO2|Non-fatal heart attacks", US_national_yearly!$D:$AM, 24, FALSE) / VLOOKUP("electricity|SO2|Non-fatal heart attacks", US_national_yearly!$D:$AM, 10, FALSE), 1)</f>
        <v>4.1458923201706223E-4</v>
      </c>
      <c r="Q13" s="7">
        <f>$B13 * IFERROR(VLOOKUP("electricity|SO2|Non-fatal heart attacks", US_national_yearly!$D:$AM, 25, FALSE) / VLOOKUP("electricity|SO2|Non-fatal heart attacks", US_national_yearly!$D:$AM, 10, FALSE), 1)</f>
        <v>4.1925991644203538E-4</v>
      </c>
      <c r="R13" s="7">
        <f>$B13 * IFERROR(VLOOKUP("electricity|SO2|Non-fatal heart attacks", US_national_yearly!$D:$AM, 26, FALSE) / VLOOKUP("electricity|SO2|Non-fatal heart attacks", US_national_yearly!$D:$AM, 10, FALSE), 1)</f>
        <v>4.2393060086700854E-4</v>
      </c>
      <c r="S13" s="7">
        <f>$B13 * IFERROR(VLOOKUP("electricity|SO2|Non-fatal heart attacks", US_national_yearly!$D:$AM, 27, FALSE) / VLOOKUP("electricity|SO2|Non-fatal heart attacks", US_national_yearly!$D:$AM, 10, FALSE), 1)</f>
        <v>4.2647227618268448E-4</v>
      </c>
      <c r="T13" s="7">
        <f>$B13 * IFERROR(VLOOKUP("electricity|SO2|Non-fatal heart attacks", US_national_yearly!$D:$AM, 28, FALSE) / VLOOKUP("electricity|SO2|Non-fatal heart attacks", US_national_yearly!$D:$AM, 10, FALSE), 1)</f>
        <v>4.2901395149836052E-4</v>
      </c>
      <c r="U13" s="7">
        <f>$B13 * IFERROR(VLOOKUP("electricity|SO2|Non-fatal heart attacks", US_national_yearly!$D:$AM, 29, FALSE) / VLOOKUP("electricity|SO2|Non-fatal heart attacks", US_national_yearly!$D:$AM, 10, FALSE), 1)</f>
        <v>4.3155562681403657E-4</v>
      </c>
      <c r="V13" s="7">
        <f>$B13 * IFERROR(VLOOKUP("electricity|SO2|Non-fatal heart attacks", US_national_yearly!$D:$AM, 30, FALSE) / VLOOKUP("electricity|SO2|Non-fatal heart attacks", US_national_yearly!$D:$AM, 10, FALSE), 1)</f>
        <v>4.3409730212971246E-4</v>
      </c>
      <c r="W13" s="7">
        <f>$B13 * IFERROR(VLOOKUP("electricity|SO2|Non-fatal heart attacks", US_national_yearly!$D:$AM, 31, FALSE) / VLOOKUP("electricity|SO2|Non-fatal heart attacks", US_national_yearly!$D:$AM, 10, FALSE), 1)</f>
        <v>4.3663897744538851E-4</v>
      </c>
      <c r="X13" s="7">
        <f>$B13 * IFERROR(VLOOKUP("electricity|SO2|Non-fatal heart attacks", US_national_yearly!$D:$AM, 32, FALSE) / VLOOKUP("electricity|SO2|Non-fatal heart attacks", US_national_yearly!$D:$AM, 10, FALSE), 1)</f>
        <v>4.3859140841014945E-4</v>
      </c>
      <c r="Y13" s="7">
        <f>$B13 * IFERROR(VLOOKUP("electricity|SO2|Non-fatal heart attacks", US_national_yearly!$D:$AM, 33, FALSE) / VLOOKUP("electricity|SO2|Non-fatal heart attacks", US_national_yearly!$D:$AM, 10, FALSE), 1)</f>
        <v>4.4054383937491051E-4</v>
      </c>
      <c r="Z13" s="7">
        <f>$B13 * IFERROR(VLOOKUP("electricity|SO2|Non-fatal heart attacks", US_national_yearly!$D:$AM, 34, FALSE) / VLOOKUP("electricity|SO2|Non-fatal heart attacks", US_national_yearly!$D:$AM, 10, FALSE), 1)</f>
        <v>4.424962703396714E-4</v>
      </c>
      <c r="AA13" s="7">
        <f>$B13 * IFERROR(VLOOKUP("electricity|SO2|Non-fatal heart attacks", US_national_yearly!$D:$AM, 35, FALSE) / VLOOKUP("electricity|SO2|Non-fatal heart attacks", US_national_yearly!$D:$AM, 10, FALSE), 1)</f>
        <v>4.444487013044324E-4</v>
      </c>
      <c r="AB13" s="7">
        <f>$B13 * IFERROR(VLOOKUP("electricity|SO2|Non-fatal heart attacks", US_national_yearly!$D:$AM, 36, FALSE) / VLOOKUP("electricity|SO2|Non-fatal heart attacks", US_national_yearly!$D:$AM, 10, FALSE), 1)</f>
        <v>4.4640113226919334E-4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0.27647238937827212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0.27716715126704217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0.27786191315581221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0.27855667504458231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0.27925143693335236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0.28025521765964406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0.28125899838593577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0.28298055961379437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0.28470212084165297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0.28642368206951158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0.28814524329737029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0.28986680452522889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0.29223764301110883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0.29460848149698876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0.29697931998286869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0.29935015846874863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0.30172099695462856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0.30415148018573707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0.30658196341684552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0.30901244664795396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0.31144292987906247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0.31387341311017092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0.31601197197880426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0.31815053084743755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0.32028908971607084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0.32242764858470419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0.32456620745333747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4.7056368926700433E-2</v>
      </c>
      <c r="C15" s="7">
        <f>$B15 * IFERROR(VLOOKUP("electricity|SO2|Work loss days", US_national_yearly!$D:$AM, 11, FALSE) / VLOOKUP("electricity|SO2|Work loss days", US_national_yearly!$D:$AM, 10, FALSE), 1)</f>
        <v>4.720873887241895E-2</v>
      </c>
      <c r="D15" s="7">
        <f>$B15 * IFERROR(VLOOKUP("electricity|SO2|Work loss days", US_national_yearly!$D:$AM, 12, FALSE) / VLOOKUP("electricity|SO2|Work loss days", US_national_yearly!$D:$AM, 10, FALSE), 1)</f>
        <v>4.7361108818137466E-2</v>
      </c>
      <c r="E15" s="7">
        <f>$B15 * IFERROR(VLOOKUP("electricity|SO2|Work loss days", US_national_yearly!$D:$AM, 13, FALSE) / VLOOKUP("electricity|SO2|Work loss days", US_national_yearly!$D:$AM, 10, FALSE), 1)</f>
        <v>4.7513478763855997E-2</v>
      </c>
      <c r="F15" s="7">
        <f>$B15 * IFERROR(VLOOKUP("electricity|SO2|Work loss days", US_national_yearly!$D:$AM, 14, FALSE) / VLOOKUP("electricity|SO2|Work loss days", US_national_yearly!$D:$AM, 10, FALSE), 1)</f>
        <v>4.7665848709574514E-2</v>
      </c>
      <c r="G15" s="7">
        <f>$B15 * IFERROR(VLOOKUP("electricity|SO2|Work loss days", US_national_yearly!$D:$AM, 15, FALSE) / VLOOKUP("electricity|SO2|Work loss days", US_national_yearly!$D:$AM, 10, FALSE), 1)</f>
        <v>4.7861044051483399E-2</v>
      </c>
      <c r="H15" s="7">
        <f>$B15 * IFERROR(VLOOKUP("electricity|SO2|Work loss days", US_national_yearly!$D:$AM, 16, FALSE) / VLOOKUP("electricity|SO2|Work loss days", US_national_yearly!$D:$AM, 10, FALSE), 1)</f>
        <v>4.8056239393392285E-2</v>
      </c>
      <c r="I15" s="7">
        <f>$B15 * IFERROR(VLOOKUP("electricity|SO2|Work loss days", US_national_yearly!$D:$AM, 17, FALSE) / VLOOKUP("electricity|SO2|Work loss days", US_national_yearly!$D:$AM, 10, FALSE), 1)</f>
        <v>4.8341833139249349E-2</v>
      </c>
      <c r="J15" s="7">
        <f>$B15 * IFERROR(VLOOKUP("electricity|SO2|Work loss days", US_national_yearly!$D:$AM, 18, FALSE) / VLOOKUP("electricity|SO2|Work loss days", US_national_yearly!$D:$AM, 10, FALSE), 1)</f>
        <v>4.8627426885106399E-2</v>
      </c>
      <c r="K15" s="7">
        <f>$B15 * IFERROR(VLOOKUP("electricity|SO2|Work loss days", US_national_yearly!$D:$AM, 19, FALSE) / VLOOKUP("electricity|SO2|Work loss days", US_national_yearly!$D:$AM, 10, FALSE), 1)</f>
        <v>4.891302063096347E-2</v>
      </c>
      <c r="L15" s="7">
        <f>$B15 * IFERROR(VLOOKUP("electricity|SO2|Work loss days", US_national_yearly!$D:$AM, 20, FALSE) / VLOOKUP("electricity|SO2|Work loss days", US_national_yearly!$D:$AM, 10, FALSE), 1)</f>
        <v>4.9198614376820528E-2</v>
      </c>
      <c r="M15" s="7">
        <f>$B15 * IFERROR(VLOOKUP("electricity|SO2|Work loss days", US_national_yearly!$D:$AM, 21, FALSE) / VLOOKUP("electricity|SO2|Work loss days", US_national_yearly!$D:$AM, 10, FALSE), 1)</f>
        <v>4.9484208122677599E-2</v>
      </c>
      <c r="N15" s="7">
        <f>$B15 * IFERROR(VLOOKUP("electricity|SO2|Work loss days", US_national_yearly!$D:$AM, 22, FALSE) / VLOOKUP("electricity|SO2|Work loss days", US_national_yearly!$D:$AM, 10, FALSE), 1)</f>
        <v>4.9845555236706633E-2</v>
      </c>
      <c r="O15" s="7">
        <f>$B15 * IFERROR(VLOOKUP("electricity|SO2|Work loss days", US_national_yearly!$D:$AM, 23, FALSE) / VLOOKUP("electricity|SO2|Work loss days", US_national_yearly!$D:$AM, 10, FALSE), 1)</f>
        <v>5.0206902350735674E-2</v>
      </c>
      <c r="P15" s="7">
        <f>$B15 * IFERROR(VLOOKUP("electricity|SO2|Work loss days", US_national_yearly!$D:$AM, 24, FALSE) / VLOOKUP("electricity|SO2|Work loss days", US_national_yearly!$D:$AM, 10, FALSE), 1)</f>
        <v>5.0568249464764715E-2</v>
      </c>
      <c r="Q15" s="7">
        <f>$B15 * IFERROR(VLOOKUP("electricity|SO2|Work loss days", US_national_yearly!$D:$AM, 25, FALSE) / VLOOKUP("electricity|SO2|Work loss days", US_national_yearly!$D:$AM, 10, FALSE), 1)</f>
        <v>5.092959657879375E-2</v>
      </c>
      <c r="R15" s="7">
        <f>$B15 * IFERROR(VLOOKUP("electricity|SO2|Work loss days", US_national_yearly!$D:$AM, 26, FALSE) / VLOOKUP("electricity|SO2|Work loss days", US_national_yearly!$D:$AM, 10, FALSE), 1)</f>
        <v>5.1290943692822791E-2</v>
      </c>
      <c r="S15" s="7">
        <f>$B15 * IFERROR(VLOOKUP("electricity|SO2|Work loss days", US_national_yearly!$D:$AM, 27, FALSE) / VLOOKUP("electricity|SO2|Work loss days", US_national_yearly!$D:$AM, 10, FALSE), 1)</f>
        <v>5.1696047527500857E-2</v>
      </c>
      <c r="T15" s="7">
        <f>$B15 * IFERROR(VLOOKUP("electricity|SO2|Work loss days", US_national_yearly!$D:$AM, 28, FALSE) / VLOOKUP("electricity|SO2|Work loss days", US_national_yearly!$D:$AM, 10, FALSE), 1)</f>
        <v>5.2101151362178931E-2</v>
      </c>
      <c r="U15" s="7">
        <f>$B15 * IFERROR(VLOOKUP("electricity|SO2|Work loss days", US_national_yearly!$D:$AM, 29, FALSE) / VLOOKUP("electricity|SO2|Work loss days", US_national_yearly!$D:$AM, 10, FALSE), 1)</f>
        <v>5.2506255196857005E-2</v>
      </c>
      <c r="V15" s="7">
        <f>$B15 * IFERROR(VLOOKUP("electricity|SO2|Work loss days", US_national_yearly!$D:$AM, 30, FALSE) / VLOOKUP("electricity|SO2|Work loss days", US_national_yearly!$D:$AM, 10, FALSE), 1)</f>
        <v>5.2911359031535078E-2</v>
      </c>
      <c r="W15" s="7">
        <f>$B15 * IFERROR(VLOOKUP("electricity|SO2|Work loss days", US_national_yearly!$D:$AM, 31, FALSE) / VLOOKUP("electricity|SO2|Work loss days", US_national_yearly!$D:$AM, 10, FALSE), 1)</f>
        <v>5.3316462866213152E-2</v>
      </c>
      <c r="X15" s="7">
        <f>$B15 * IFERROR(VLOOKUP("electricity|SO2|Work loss days", US_national_yearly!$D:$AM, 32, FALSE) / VLOOKUP("electricity|SO2|Work loss days", US_national_yearly!$D:$AM, 10, FALSE), 1)</f>
        <v>5.3681421354109402E-2</v>
      </c>
      <c r="Y15" s="7">
        <f>$B15 * IFERROR(VLOOKUP("electricity|SO2|Work loss days", US_national_yearly!$D:$AM, 33, FALSE) / VLOOKUP("electricity|SO2|Work loss days", US_national_yearly!$D:$AM, 10, FALSE), 1)</f>
        <v>5.4046379842005651E-2</v>
      </c>
      <c r="Z15" s="7">
        <f>$B15 * IFERROR(VLOOKUP("electricity|SO2|Work loss days", US_national_yearly!$D:$AM, 34, FALSE) / VLOOKUP("electricity|SO2|Work loss days", US_national_yearly!$D:$AM, 10, FALSE), 1)</f>
        <v>5.4411338329901887E-2</v>
      </c>
      <c r="AA15" s="7">
        <f>$B15 * IFERROR(VLOOKUP("electricity|SO2|Work loss days", US_national_yearly!$D:$AM, 35, FALSE) / VLOOKUP("electricity|SO2|Work loss days", US_national_yearly!$D:$AM, 10, FALSE), 1)</f>
        <v>5.477629681779813E-2</v>
      </c>
      <c r="AB15" s="7">
        <f>$B15 * IFERROR(VLOOKUP("electricity|SO2|Work loss days", US_national_yearly!$D:$AM, 36, FALSE) / VLOOKUP("electricity|SO2|Work loss days", US_national_yearly!$D:$AM, 10, FALSE), 1)</f>
        <v>5.514125530569438E-2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7.6665242580964673E-5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7.8988412546896232E-5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8.131158251282779E-5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8.3634752478759362E-5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8.5957922444690921E-5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8.8197310255858544E-5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9.0436698067026167E-5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9.2375426879921733E-5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9.4314155692817287E-5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9.6252884505712853E-5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9.8191613318608393E-5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1.0013034213150395E-4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1.0145351937742854E-4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1.027766966233531E-4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1.0409987386927772E-4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1.0542305111520229E-4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1.0674622836112687E-4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1.0747161836711327E-4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1.0819700837309965E-4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1.0892239837908605E-4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1.0964778838507244E-4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1.1037317839105882E-4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1.1087390627767352E-4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1.1137463416428819E-4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1.1187536205090288E-4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1.1237608993751757E-4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1.1287681782413225E-4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3.4491941268583313E-2</v>
      </c>
      <c r="C2" s="7">
        <f>$B2 * IFERROR(VLOOKUP("buildings|PM25|Premature mortality", US_national_yearly!$D:$AM, 11, FALSE) / VLOOKUP("buildings|PM25|Premature mortality", US_national_yearly!$D:$AM, 10, FALSE), 1)</f>
        <v>3.4919875485942789E-2</v>
      </c>
      <c r="D2" s="7">
        <f>$B2 * IFERROR(VLOOKUP("buildings|PM25|Premature mortality", US_national_yearly!$D:$AM, 12, FALSE) / VLOOKUP("buildings|PM25|Premature mortality", US_national_yearly!$D:$AM, 10, FALSE), 1)</f>
        <v>3.5347809703302265E-2</v>
      </c>
      <c r="E2" s="7">
        <f>$B2 * IFERROR(VLOOKUP("buildings|PM25|Premature mortality", US_national_yearly!$D:$AM, 13, FALSE) / VLOOKUP("buildings|PM25|Premature mortality", US_national_yearly!$D:$AM, 10, FALSE), 1)</f>
        <v>3.5775743920661747E-2</v>
      </c>
      <c r="F2" s="7">
        <f>$B2 * IFERROR(VLOOKUP("buildings|PM25|Premature mortality", US_national_yearly!$D:$AM, 14, FALSE) / VLOOKUP("buildings|PM25|Premature mortality", US_national_yearly!$D:$AM, 10, FALSE), 1)</f>
        <v>3.6203678138021222E-2</v>
      </c>
      <c r="G2" s="7">
        <f>$B2 * IFERROR(VLOOKUP("buildings|PM25|Premature mortality", US_national_yearly!$D:$AM, 15, FALSE) / VLOOKUP("buildings|PM25|Premature mortality", US_national_yearly!$D:$AM, 10, FALSE), 1)</f>
        <v>3.7036953816150915E-2</v>
      </c>
      <c r="H2" s="7">
        <f>$B2 * IFERROR(VLOOKUP("buildings|PM25|Premature mortality", US_national_yearly!$D:$AM, 16, FALSE) / VLOOKUP("buildings|PM25|Premature mortality", US_national_yearly!$D:$AM, 10, FALSE), 1)</f>
        <v>3.7870229494280608E-2</v>
      </c>
      <c r="I2" s="7">
        <f>$B2 * IFERROR(VLOOKUP("buildings|PM25|Premature mortality", US_national_yearly!$D:$AM, 17, FALSE) / VLOOKUP("buildings|PM25|Premature mortality", US_national_yearly!$D:$AM, 10, FALSE), 1)</f>
        <v>3.8418260555416611E-2</v>
      </c>
      <c r="J2" s="7">
        <f>$B2 * IFERROR(VLOOKUP("buildings|PM25|Premature mortality", US_national_yearly!$D:$AM, 18, FALSE) / VLOOKUP("buildings|PM25|Premature mortality", US_national_yearly!$D:$AM, 10, FALSE), 1)</f>
        <v>3.8966291616552622E-2</v>
      </c>
      <c r="K2" s="7">
        <f>$B2 * IFERROR(VLOOKUP("buildings|PM25|Premature mortality", US_national_yearly!$D:$AM, 19, FALSE) / VLOOKUP("buildings|PM25|Premature mortality", US_national_yearly!$D:$AM, 10, FALSE), 1)</f>
        <v>3.9514322677688625E-2</v>
      </c>
      <c r="L2" s="7">
        <f>$B2 * IFERROR(VLOOKUP("buildings|PM25|Premature mortality", US_national_yearly!$D:$AM, 20, FALSE) / VLOOKUP("buildings|PM25|Premature mortality", US_national_yearly!$D:$AM, 10, FALSE), 1)</f>
        <v>4.0062353738824635E-2</v>
      </c>
      <c r="M2" s="7">
        <f>$B2 * IFERROR(VLOOKUP("buildings|PM25|Premature mortality", US_national_yearly!$D:$AM, 21, FALSE) / VLOOKUP("buildings|PM25|Premature mortality", US_national_yearly!$D:$AM, 10, FALSE), 1)</f>
        <v>4.0610384799960639E-2</v>
      </c>
      <c r="N2" s="7">
        <f>$B2 * IFERROR(VLOOKUP("buildings|PM25|Premature mortality", US_national_yearly!$D:$AM, 22, FALSE) / VLOOKUP("buildings|PM25|Premature mortality", US_national_yearly!$D:$AM, 10, FALSE), 1)</f>
        <v>4.103653985915915E-2</v>
      </c>
      <c r="O2" s="7">
        <f>$B2 * IFERROR(VLOOKUP("buildings|PM25|Premature mortality", US_national_yearly!$D:$AM, 23, FALSE) / VLOOKUP("buildings|PM25|Premature mortality", US_national_yearly!$D:$AM, 10, FALSE), 1)</f>
        <v>4.1462694918357669E-2</v>
      </c>
      <c r="P2" s="7">
        <f>$B2 * IFERROR(VLOOKUP("buildings|PM25|Premature mortality", US_national_yearly!$D:$AM, 24, FALSE) / VLOOKUP("buildings|PM25|Premature mortality", US_national_yearly!$D:$AM, 10, FALSE), 1)</f>
        <v>4.1888849977556181E-2</v>
      </c>
      <c r="Q2" s="7">
        <f>$B2 * IFERROR(VLOOKUP("buildings|PM25|Premature mortality", US_national_yearly!$D:$AM, 25, FALSE) / VLOOKUP("buildings|PM25|Premature mortality", US_national_yearly!$D:$AM, 10, FALSE), 1)</f>
        <v>4.2315005036754706E-2</v>
      </c>
      <c r="R2" s="7">
        <f>$B2 * IFERROR(VLOOKUP("buildings|PM25|Premature mortality", US_national_yearly!$D:$AM, 26, FALSE) / VLOOKUP("buildings|PM25|Premature mortality", US_national_yearly!$D:$AM, 10, FALSE), 1)</f>
        <v>4.2741160095953218E-2</v>
      </c>
      <c r="S2" s="7">
        <f>$B2 * IFERROR(VLOOKUP("buildings|PM25|Premature mortality", US_national_yearly!$D:$AM, 27, FALSE) / VLOOKUP("buildings|PM25|Premature mortality", US_national_yearly!$D:$AM, 10, FALSE), 1)</f>
        <v>4.2967665742863335E-2</v>
      </c>
      <c r="T2" s="7">
        <f>$B2 * IFERROR(VLOOKUP("buildings|PM25|Premature mortality", US_national_yearly!$D:$AM, 28, FALSE) / VLOOKUP("buildings|PM25|Premature mortality", US_national_yearly!$D:$AM, 10, FALSE), 1)</f>
        <v>4.319417138977346E-2</v>
      </c>
      <c r="U2" s="7">
        <f>$B2 * IFERROR(VLOOKUP("buildings|PM25|Premature mortality", US_national_yearly!$D:$AM, 29, FALSE) / VLOOKUP("buildings|PM25|Premature mortality", US_national_yearly!$D:$AM, 10, FALSE), 1)</f>
        <v>4.3420677036683591E-2</v>
      </c>
      <c r="V2" s="7">
        <f>$B2 * IFERROR(VLOOKUP("buildings|PM25|Premature mortality", US_national_yearly!$D:$AM, 30, FALSE) / VLOOKUP("buildings|PM25|Premature mortality", US_national_yearly!$D:$AM, 10, FALSE), 1)</f>
        <v>4.3647182683593716E-2</v>
      </c>
      <c r="W2" s="7">
        <f>$B2 * IFERROR(VLOOKUP("buildings|PM25|Premature mortality", US_national_yearly!$D:$AM, 31, FALSE) / VLOOKUP("buildings|PM25|Premature mortality", US_national_yearly!$D:$AM, 10, FALSE), 1)</f>
        <v>4.3873688330503834E-2</v>
      </c>
      <c r="X2" s="7">
        <f>$B2 * IFERROR(VLOOKUP("buildings|PM25|Premature mortality", US_national_yearly!$D:$AM, 32, FALSE) / VLOOKUP("buildings|PM25|Premature mortality", US_national_yearly!$D:$AM, 10, FALSE), 1)</f>
        <v>4.391434427569943E-2</v>
      </c>
      <c r="Y2" s="7">
        <f>$B2 * IFERROR(VLOOKUP("buildings|PM25|Premature mortality", US_national_yearly!$D:$AM, 33, FALSE) / VLOOKUP("buildings|PM25|Premature mortality", US_national_yearly!$D:$AM, 10, FALSE), 1)</f>
        <v>4.3955000220895012E-2</v>
      </c>
      <c r="Z2" s="7">
        <f>$B2 * IFERROR(VLOOKUP("buildings|PM25|Premature mortality", US_national_yearly!$D:$AM, 34, FALSE) / VLOOKUP("buildings|PM25|Premature mortality", US_national_yearly!$D:$AM, 10, FALSE), 1)</f>
        <v>4.3995656166090608E-2</v>
      </c>
      <c r="AA2" s="7">
        <f>$B2 * IFERROR(VLOOKUP("buildings|PM25|Premature mortality", US_national_yearly!$D:$AM, 35, FALSE) / VLOOKUP("buildings|PM25|Premature mortality", US_national_yearly!$D:$AM, 10, FALSE), 1)</f>
        <v>4.4036312111286197E-2</v>
      </c>
      <c r="AB2" s="7">
        <f>$B2 * IFERROR(VLOOKUP("buildings|PM25|Premature mortality", US_national_yearly!$D:$AM, 36, FALSE) / VLOOKUP("buildings|PM25|Premature mortality", US_national_yearly!$D:$AM, 10, FALSE), 1)</f>
        <v>4.4076968056481786E-2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1.4128724688884127E-4</v>
      </c>
      <c r="C3" s="7">
        <f>$B3 * IFERROR(VLOOKUP("buildings|PM25|Infant mortality", US_national_yearly!$D:$AM, 11, FALSE) / VLOOKUP("buildings|PM25|Infant mortality", US_national_yearly!$D:$AM, 10, FALSE), 1)</f>
        <v>1.4006347077721856E-4</v>
      </c>
      <c r="D3" s="7">
        <f>$B3 * IFERROR(VLOOKUP("buildings|PM25|Infant mortality", US_national_yearly!$D:$AM, 12, FALSE) / VLOOKUP("buildings|PM25|Infant mortality", US_national_yearly!$D:$AM, 10, FALSE), 1)</f>
        <v>1.3883969466559588E-4</v>
      </c>
      <c r="E3" s="7">
        <f>$B3 * IFERROR(VLOOKUP("buildings|PM25|Infant mortality", US_national_yearly!$D:$AM, 13, FALSE) / VLOOKUP("buildings|PM25|Infant mortality", US_national_yearly!$D:$AM, 10, FALSE), 1)</f>
        <v>1.3761591855397318E-4</v>
      </c>
      <c r="F3" s="7">
        <f>$B3 * IFERROR(VLOOKUP("buildings|PM25|Infant mortality", US_national_yearly!$D:$AM, 14, FALSE) / VLOOKUP("buildings|PM25|Infant mortality", US_national_yearly!$D:$AM, 10, FALSE), 1)</f>
        <v>1.3639214244235049E-4</v>
      </c>
      <c r="G3" s="7">
        <f>$B3 * IFERROR(VLOOKUP("buildings|PM25|Infant mortality", US_national_yearly!$D:$AM, 15, FALSE) / VLOOKUP("buildings|PM25|Infant mortality", US_national_yearly!$D:$AM, 10, FALSE), 1)</f>
        <v>9.0695826529728487E-5</v>
      </c>
      <c r="H3" s="7">
        <f>$B3 * IFERROR(VLOOKUP("buildings|PM25|Infant mortality", US_national_yearly!$D:$AM, 16, FALSE) / VLOOKUP("buildings|PM25|Infant mortality", US_national_yearly!$D:$AM, 10, FALSE), 1)</f>
        <v>4.4999510617106493E-5</v>
      </c>
      <c r="I3" s="7">
        <f>$B3 * IFERROR(VLOOKUP("buildings|PM25|Infant mortality", US_national_yearly!$D:$AM, 17, FALSE) / VLOOKUP("buildings|PM25|Infant mortality", US_national_yearly!$D:$AM, 10, FALSE), 1)</f>
        <v>4.4706275552736297E-5</v>
      </c>
      <c r="J3" s="7">
        <f>$B3 * IFERROR(VLOOKUP("buildings|PM25|Infant mortality", US_national_yearly!$D:$AM, 18, FALSE) / VLOOKUP("buildings|PM25|Infant mortality", US_national_yearly!$D:$AM, 10, FALSE), 1)</f>
        <v>4.4413040488366101E-5</v>
      </c>
      <c r="K3" s="7">
        <f>$B3 * IFERROR(VLOOKUP("buildings|PM25|Infant mortality", US_national_yearly!$D:$AM, 19, FALSE) / VLOOKUP("buildings|PM25|Infant mortality", US_national_yearly!$D:$AM, 10, FALSE), 1)</f>
        <v>4.4119805423995905E-5</v>
      </c>
      <c r="L3" s="7">
        <f>$B3 * IFERROR(VLOOKUP("buildings|PM25|Infant mortality", US_national_yearly!$D:$AM, 20, FALSE) / VLOOKUP("buildings|PM25|Infant mortality", US_national_yearly!$D:$AM, 10, FALSE), 1)</f>
        <v>4.382657035962571E-5</v>
      </c>
      <c r="M3" s="7">
        <f>$B3 * IFERROR(VLOOKUP("buildings|PM25|Infant mortality", US_national_yearly!$D:$AM, 21, FALSE) / VLOOKUP("buildings|PM25|Infant mortality", US_national_yearly!$D:$AM, 10, FALSE), 1)</f>
        <v>4.353333529525552E-5</v>
      </c>
      <c r="N3" s="7">
        <f>$B3 * IFERROR(VLOOKUP("buildings|PM25|Infant mortality", US_national_yearly!$D:$AM, 22, FALSE) / VLOOKUP("buildings|PM25|Infant mortality", US_national_yearly!$D:$AM, 10, FALSE), 1)</f>
        <v>4.334985937393493E-5</v>
      </c>
      <c r="O3" s="7">
        <f>$B3 * IFERROR(VLOOKUP("buildings|PM25|Infant mortality", US_national_yearly!$D:$AM, 23, FALSE) / VLOOKUP("buildings|PM25|Infant mortality", US_national_yearly!$D:$AM, 10, FALSE), 1)</f>
        <v>4.3166383452614347E-5</v>
      </c>
      <c r="P3" s="7">
        <f>$B3 * IFERROR(VLOOKUP("buildings|PM25|Infant mortality", US_national_yearly!$D:$AM, 24, FALSE) / VLOOKUP("buildings|PM25|Infant mortality", US_national_yearly!$D:$AM, 10, FALSE), 1)</f>
        <v>4.2982907531293763E-5</v>
      </c>
      <c r="Q3" s="7">
        <f>$B3 * IFERROR(VLOOKUP("buildings|PM25|Infant mortality", US_national_yearly!$D:$AM, 25, FALSE) / VLOOKUP("buildings|PM25|Infant mortality", US_national_yearly!$D:$AM, 10, FALSE), 1)</f>
        <v>4.2799431609973173E-5</v>
      </c>
      <c r="R3" s="7">
        <f>$B3 * IFERROR(VLOOKUP("buildings|PM25|Infant mortality", US_national_yearly!$D:$AM, 26, FALSE) / VLOOKUP("buildings|PM25|Infant mortality", US_national_yearly!$D:$AM, 10, FALSE), 1)</f>
        <v>4.2615955688652589E-5</v>
      </c>
      <c r="S3" s="7">
        <f>$B3 * IFERROR(VLOOKUP("buildings|PM25|Infant mortality", US_national_yearly!$D:$AM, 27, FALSE) / VLOOKUP("buildings|PM25|Infant mortality", US_national_yearly!$D:$AM, 10, FALSE), 1)</f>
        <v>4.2386873384605777E-5</v>
      </c>
      <c r="T3" s="7">
        <f>$B3 * IFERROR(VLOOKUP("buildings|PM25|Infant mortality", US_national_yearly!$D:$AM, 28, FALSE) / VLOOKUP("buildings|PM25|Infant mortality", US_national_yearly!$D:$AM, 10, FALSE), 1)</f>
        <v>4.215779108055898E-5</v>
      </c>
      <c r="U3" s="7">
        <f>$B3 * IFERROR(VLOOKUP("buildings|PM25|Infant mortality", US_national_yearly!$D:$AM, 29, FALSE) / VLOOKUP("buildings|PM25|Infant mortality", US_national_yearly!$D:$AM, 10, FALSE), 1)</f>
        <v>4.1928708776512161E-5</v>
      </c>
      <c r="V3" s="7">
        <f>$B3 * IFERROR(VLOOKUP("buildings|PM25|Infant mortality", US_national_yearly!$D:$AM, 30, FALSE) / VLOOKUP("buildings|PM25|Infant mortality", US_national_yearly!$D:$AM, 10, FALSE), 1)</f>
        <v>4.1699626472465363E-5</v>
      </c>
      <c r="W3" s="7">
        <f>$B3 * IFERROR(VLOOKUP("buildings|PM25|Infant mortality", US_national_yearly!$D:$AM, 31, FALSE) / VLOOKUP("buildings|PM25|Infant mortality", US_national_yearly!$D:$AM, 10, FALSE), 1)</f>
        <v>4.1470544168418552E-5</v>
      </c>
      <c r="X3" s="7">
        <f>$B3 * IFERROR(VLOOKUP("buildings|PM25|Infant mortality", US_national_yearly!$D:$AM, 32, FALSE) / VLOOKUP("buildings|PM25|Infant mortality", US_national_yearly!$D:$AM, 10, FALSE), 1)</f>
        <v>4.1223907572887423E-5</v>
      </c>
      <c r="Y3" s="7">
        <f>$B3 * IFERROR(VLOOKUP("buildings|PM25|Infant mortality", US_national_yearly!$D:$AM, 33, FALSE) / VLOOKUP("buildings|PM25|Infant mortality", US_national_yearly!$D:$AM, 10, FALSE), 1)</f>
        <v>4.0977270977356301E-5</v>
      </c>
      <c r="Z3" s="7">
        <f>$B3 * IFERROR(VLOOKUP("buildings|PM25|Infant mortality", US_national_yearly!$D:$AM, 34, FALSE) / VLOOKUP("buildings|PM25|Infant mortality", US_national_yearly!$D:$AM, 10, FALSE), 1)</f>
        <v>4.0730634381825172E-5</v>
      </c>
      <c r="AA3" s="7">
        <f>$B3 * IFERROR(VLOOKUP("buildings|PM25|Infant mortality", US_national_yearly!$D:$AM, 35, FALSE) / VLOOKUP("buildings|PM25|Infant mortality", US_national_yearly!$D:$AM, 10, FALSE), 1)</f>
        <v>4.0483997786294037E-5</v>
      </c>
      <c r="AB3" s="7">
        <f>$B3 * IFERROR(VLOOKUP("buildings|PM25|Infant mortality", US_national_yearly!$D:$AM, 36, FALSE) / VLOOKUP("buildings|PM25|Infant mortality", US_national_yearly!$D:$AM, 10, FALSE), 1)</f>
        <v>4.0237361190762914E-5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0.13645246952612899</v>
      </c>
      <c r="C6" s="7">
        <f>$B6 * IFERROR(VLOOKUP("buildings|PM25|Asthma symptoms cough", US_national_yearly!$D:$AM, 11, FALSE) / VLOOKUP("buildings|PM25|Asthma symptoms cough", US_national_yearly!$D:$AM, 10, FALSE), 1)</f>
        <v>0.13645246952612899</v>
      </c>
      <c r="D6" s="7">
        <f>$B6 * IFERROR(VLOOKUP("buildings|PM25|Asthma symptoms cough", US_national_yearly!$D:$AM, 12, FALSE) / VLOOKUP("buildings|PM25|Asthma symptoms cough", US_national_yearly!$D:$AM, 10, FALSE), 1)</f>
        <v>0.13645246952612899</v>
      </c>
      <c r="E6" s="7">
        <f>$B6 * IFERROR(VLOOKUP("buildings|PM25|Asthma symptoms cough", US_national_yearly!$D:$AM, 13, FALSE) / VLOOKUP("buildings|PM25|Asthma symptoms cough", US_national_yearly!$D:$AM, 10, FALSE), 1)</f>
        <v>0.13645246952612899</v>
      </c>
      <c r="F6" s="7">
        <f>$B6 * IFERROR(VLOOKUP("buildings|PM25|Asthma symptoms cough", US_national_yearly!$D:$AM, 14, FALSE) / VLOOKUP("buildings|PM25|Asthma symptoms cough", US_national_yearly!$D:$AM, 10, FALSE), 1)</f>
        <v>0.13645246952612899</v>
      </c>
      <c r="G6" s="7">
        <f>$B6 * IFERROR(VLOOKUP("buildings|PM25|Asthma symptoms cough", US_national_yearly!$D:$AM, 15, FALSE) / VLOOKUP("buildings|PM25|Asthma symptoms cough", US_national_yearly!$D:$AM, 10, FALSE), 1)</f>
        <v>0.13645246952612899</v>
      </c>
      <c r="H6" s="7">
        <f>$B6 * IFERROR(VLOOKUP("buildings|PM25|Asthma symptoms cough", US_national_yearly!$D:$AM, 16, FALSE) / VLOOKUP("buildings|PM25|Asthma symptoms cough", US_national_yearly!$D:$AM, 10, FALSE), 1)</f>
        <v>0.13645246952612899</v>
      </c>
      <c r="I6" s="7">
        <f>$B6 * IFERROR(VLOOKUP("buildings|PM25|Asthma symptoms cough", US_national_yearly!$D:$AM, 17, FALSE) / VLOOKUP("buildings|PM25|Asthma symptoms cough", US_national_yearly!$D:$AM, 10, FALSE), 1)</f>
        <v>0.13645246952612899</v>
      </c>
      <c r="J6" s="7">
        <f>$B6 * IFERROR(VLOOKUP("buildings|PM25|Asthma symptoms cough", US_national_yearly!$D:$AM, 18, FALSE) / VLOOKUP("buildings|PM25|Asthma symptoms cough", US_national_yearly!$D:$AM, 10, FALSE), 1)</f>
        <v>0.13645246952612899</v>
      </c>
      <c r="K6" s="7">
        <f>$B6 * IFERROR(VLOOKUP("buildings|PM25|Asthma symptoms cough", US_national_yearly!$D:$AM, 19, FALSE) / VLOOKUP("buildings|PM25|Asthma symptoms cough", US_national_yearly!$D:$AM, 10, FALSE), 1)</f>
        <v>0.13645246952612899</v>
      </c>
      <c r="L6" s="7">
        <f>$B6 * IFERROR(VLOOKUP("buildings|PM25|Asthma symptoms cough", US_national_yearly!$D:$AM, 20, FALSE) / VLOOKUP("buildings|PM25|Asthma symptoms cough", US_national_yearly!$D:$AM, 10, FALSE), 1)</f>
        <v>0.13645246952612899</v>
      </c>
      <c r="M6" s="7">
        <f>$B6 * IFERROR(VLOOKUP("buildings|PM25|Asthma symptoms cough", US_national_yearly!$D:$AM, 21, FALSE) / VLOOKUP("buildings|PM25|Asthma symptoms cough", US_national_yearly!$D:$AM, 10, FALSE), 1)</f>
        <v>0.13645246952612899</v>
      </c>
      <c r="N6" s="7">
        <f>$B6 * IFERROR(VLOOKUP("buildings|PM25|Asthma symptoms cough", US_national_yearly!$D:$AM, 22, FALSE) / VLOOKUP("buildings|PM25|Asthma symptoms cough", US_national_yearly!$D:$AM, 10, FALSE), 1)</f>
        <v>0.13645246952612899</v>
      </c>
      <c r="O6" s="7">
        <f>$B6 * IFERROR(VLOOKUP("buildings|PM25|Asthma symptoms cough", US_national_yearly!$D:$AM, 23, FALSE) / VLOOKUP("buildings|PM25|Asthma symptoms cough", US_national_yearly!$D:$AM, 10, FALSE), 1)</f>
        <v>0.13645246952612899</v>
      </c>
      <c r="P6" s="7">
        <f>$B6 * IFERROR(VLOOKUP("buildings|PM25|Asthma symptoms cough", US_national_yearly!$D:$AM, 24, FALSE) / VLOOKUP("buildings|PM25|Asthma symptoms cough", US_national_yearly!$D:$AM, 10, FALSE), 1)</f>
        <v>0.13645246952612899</v>
      </c>
      <c r="Q6" s="7">
        <f>$B6 * IFERROR(VLOOKUP("buildings|PM25|Asthma symptoms cough", US_national_yearly!$D:$AM, 25, FALSE) / VLOOKUP("buildings|PM25|Asthma symptoms cough", US_national_yearly!$D:$AM, 10, FALSE), 1)</f>
        <v>0.13645246952612899</v>
      </c>
      <c r="R6" s="7">
        <f>$B6 * IFERROR(VLOOKUP("buildings|PM25|Asthma symptoms cough", US_national_yearly!$D:$AM, 26, FALSE) / VLOOKUP("buildings|PM25|Asthma symptoms cough", US_national_yearly!$D:$AM, 10, FALSE), 1)</f>
        <v>0.13645246952612899</v>
      </c>
      <c r="S6" s="7">
        <f>$B6 * IFERROR(VLOOKUP("buildings|PM25|Asthma symptoms cough", US_national_yearly!$D:$AM, 27, FALSE) / VLOOKUP("buildings|PM25|Asthma symptoms cough", US_national_yearly!$D:$AM, 10, FALSE), 1)</f>
        <v>0.13645246952612899</v>
      </c>
      <c r="T6" s="7">
        <f>$B6 * IFERROR(VLOOKUP("buildings|PM25|Asthma symptoms cough", US_national_yearly!$D:$AM, 28, FALSE) / VLOOKUP("buildings|PM25|Asthma symptoms cough", US_national_yearly!$D:$AM, 10, FALSE), 1)</f>
        <v>0.13645246952612899</v>
      </c>
      <c r="U6" s="7">
        <f>$B6 * IFERROR(VLOOKUP("buildings|PM25|Asthma symptoms cough", US_national_yearly!$D:$AM, 29, FALSE) / VLOOKUP("buildings|PM25|Asthma symptoms cough", US_national_yearly!$D:$AM, 10, FALSE), 1)</f>
        <v>0.13645246952612899</v>
      </c>
      <c r="V6" s="7">
        <f>$B6 * IFERROR(VLOOKUP("buildings|PM25|Asthma symptoms cough", US_national_yearly!$D:$AM, 30, FALSE) / VLOOKUP("buildings|PM25|Asthma symptoms cough", US_national_yearly!$D:$AM, 10, FALSE), 1)</f>
        <v>0.13645246952612899</v>
      </c>
      <c r="W6" s="7">
        <f>$B6 * IFERROR(VLOOKUP("buildings|PM25|Asthma symptoms cough", US_national_yearly!$D:$AM, 31, FALSE) / VLOOKUP("buildings|PM25|Asthma symptoms cough", US_national_yearly!$D:$AM, 10, FALSE), 1)</f>
        <v>0.13645246952612899</v>
      </c>
      <c r="X6" s="7">
        <f>$B6 * IFERROR(VLOOKUP("buildings|PM25|Asthma symptoms cough", US_national_yearly!$D:$AM, 32, FALSE) / VLOOKUP("buildings|PM25|Asthma symptoms cough", US_national_yearly!$D:$AM, 10, FALSE), 1)</f>
        <v>0.13645246952612899</v>
      </c>
      <c r="Y6" s="7">
        <f>$B6 * IFERROR(VLOOKUP("buildings|PM25|Asthma symptoms cough", US_national_yearly!$D:$AM, 33, FALSE) / VLOOKUP("buildings|PM25|Asthma symptoms cough", US_national_yearly!$D:$AM, 10, FALSE), 1)</f>
        <v>0.13645246952612899</v>
      </c>
      <c r="Z6" s="7">
        <f>$B6 * IFERROR(VLOOKUP("buildings|PM25|Asthma symptoms cough", US_national_yearly!$D:$AM, 34, FALSE) / VLOOKUP("buildings|PM25|Asthma symptoms cough", US_national_yearly!$D:$AM, 10, FALSE), 1)</f>
        <v>0.13645246952612899</v>
      </c>
      <c r="AA6" s="7">
        <f>$B6 * IFERROR(VLOOKUP("buildings|PM25|Asthma symptoms cough", US_national_yearly!$D:$AM, 35, FALSE) / VLOOKUP("buildings|PM25|Asthma symptoms cough", US_national_yearly!$D:$AM, 10, FALSE), 1)</f>
        <v>0.13645246952612899</v>
      </c>
      <c r="AB6" s="7">
        <f>$B6 * IFERROR(VLOOKUP("buildings|PM25|Asthma symptoms cough", US_national_yearly!$D:$AM, 36, FALSE) / VLOOKUP("buildings|PM25|Asthma symptoms cough", US_national_yearly!$D:$AM, 10, FALSE), 1)</f>
        <v>0.13645246952612899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0.18375317013368536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0.18375317013368536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0.18375317013368536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0.18375317013368536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0.18375317013368536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0.18375317013368536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0.18375317013368536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0.18375317013368536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0.18375317013368536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0.18375317013368536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0.18375317013368536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0.18375317013368536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0.18375317013368536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0.18375317013368536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0.18375317013368536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0.18375317013368536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0.18375317013368536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0.18375317013368536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0.18375317013368536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0.18375317013368536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0.18375317013368536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0.18375317013368536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0.18375317013368536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0.18375317013368536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0.18375317013368536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0.18375317013368536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0.18375317013368536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0.28074327398515386</v>
      </c>
      <c r="C8" s="7">
        <f>$B8 * IFERROR(VLOOKUP("buildings|PM25|Asthma symptoms wheeze", US_national_yearly!$D:$AM, 11, FALSE) / VLOOKUP("buildings|PM25|Asthma symptoms wheeze", US_national_yearly!$D:$AM, 10, FALSE), 1)</f>
        <v>0.28074327398515386</v>
      </c>
      <c r="D8" s="7">
        <f>$B8 * IFERROR(VLOOKUP("buildings|PM25|Asthma symptoms wheeze", US_national_yearly!$D:$AM, 12, FALSE) / VLOOKUP("buildings|PM25|Asthma symptoms wheeze", US_national_yearly!$D:$AM, 10, FALSE), 1)</f>
        <v>0.28074327398515386</v>
      </c>
      <c r="E8" s="7">
        <f>$B8 * IFERROR(VLOOKUP("buildings|PM25|Asthma symptoms wheeze", US_national_yearly!$D:$AM, 13, FALSE) / VLOOKUP("buildings|PM25|Asthma symptoms wheeze", US_national_yearly!$D:$AM, 10, FALSE), 1)</f>
        <v>0.28074327398515386</v>
      </c>
      <c r="F8" s="7">
        <f>$B8 * IFERROR(VLOOKUP("buildings|PM25|Asthma symptoms wheeze", US_national_yearly!$D:$AM, 14, FALSE) / VLOOKUP("buildings|PM25|Asthma symptoms wheeze", US_national_yearly!$D:$AM, 10, FALSE), 1)</f>
        <v>0.28074327398515386</v>
      </c>
      <c r="G8" s="7">
        <f>$B8 * IFERROR(VLOOKUP("buildings|PM25|Asthma symptoms wheeze", US_national_yearly!$D:$AM, 15, FALSE) / VLOOKUP("buildings|PM25|Asthma symptoms wheeze", US_national_yearly!$D:$AM, 10, FALSE), 1)</f>
        <v>0.28074327398515386</v>
      </c>
      <c r="H8" s="7">
        <f>$B8 * IFERROR(VLOOKUP("buildings|PM25|Asthma symptoms wheeze", US_national_yearly!$D:$AM, 16, FALSE) / VLOOKUP("buildings|PM25|Asthma symptoms wheeze", US_national_yearly!$D:$AM, 10, FALSE), 1)</f>
        <v>0.28074327398515386</v>
      </c>
      <c r="I8" s="7">
        <f>$B8 * IFERROR(VLOOKUP("buildings|PM25|Asthma symptoms wheeze", US_national_yearly!$D:$AM, 17, FALSE) / VLOOKUP("buildings|PM25|Asthma symptoms wheeze", US_national_yearly!$D:$AM, 10, FALSE), 1)</f>
        <v>0.28074327398515386</v>
      </c>
      <c r="J8" s="7">
        <f>$B8 * IFERROR(VLOOKUP("buildings|PM25|Asthma symptoms wheeze", US_national_yearly!$D:$AM, 18, FALSE) / VLOOKUP("buildings|PM25|Asthma symptoms wheeze", US_national_yearly!$D:$AM, 10, FALSE), 1)</f>
        <v>0.28074327398515386</v>
      </c>
      <c r="K8" s="7">
        <f>$B8 * IFERROR(VLOOKUP("buildings|PM25|Asthma symptoms wheeze", US_national_yearly!$D:$AM, 19, FALSE) / VLOOKUP("buildings|PM25|Asthma symptoms wheeze", US_national_yearly!$D:$AM, 10, FALSE), 1)</f>
        <v>0.28074327398515386</v>
      </c>
      <c r="L8" s="7">
        <f>$B8 * IFERROR(VLOOKUP("buildings|PM25|Asthma symptoms wheeze", US_national_yearly!$D:$AM, 20, FALSE) / VLOOKUP("buildings|PM25|Asthma symptoms wheeze", US_national_yearly!$D:$AM, 10, FALSE), 1)</f>
        <v>0.28074327398515386</v>
      </c>
      <c r="M8" s="7">
        <f>$B8 * IFERROR(VLOOKUP("buildings|PM25|Asthma symptoms wheeze", US_national_yearly!$D:$AM, 21, FALSE) / VLOOKUP("buildings|PM25|Asthma symptoms wheeze", US_national_yearly!$D:$AM, 10, FALSE), 1)</f>
        <v>0.28074327398515386</v>
      </c>
      <c r="N8" s="7">
        <f>$B8 * IFERROR(VLOOKUP("buildings|PM25|Asthma symptoms wheeze", US_national_yearly!$D:$AM, 22, FALSE) / VLOOKUP("buildings|PM25|Asthma symptoms wheeze", US_national_yearly!$D:$AM, 10, FALSE), 1)</f>
        <v>0.28074327398515386</v>
      </c>
      <c r="O8" s="7">
        <f>$B8 * IFERROR(VLOOKUP("buildings|PM25|Asthma symptoms wheeze", US_national_yearly!$D:$AM, 23, FALSE) / VLOOKUP("buildings|PM25|Asthma symptoms wheeze", US_national_yearly!$D:$AM, 10, FALSE), 1)</f>
        <v>0.28074327398515386</v>
      </c>
      <c r="P8" s="7">
        <f>$B8 * IFERROR(VLOOKUP("buildings|PM25|Asthma symptoms wheeze", US_national_yearly!$D:$AM, 24, FALSE) / VLOOKUP("buildings|PM25|Asthma symptoms wheeze", US_national_yearly!$D:$AM, 10, FALSE), 1)</f>
        <v>0.28074327398515386</v>
      </c>
      <c r="Q8" s="7">
        <f>$B8 * IFERROR(VLOOKUP("buildings|PM25|Asthma symptoms wheeze", US_national_yearly!$D:$AM, 25, FALSE) / VLOOKUP("buildings|PM25|Asthma symptoms wheeze", US_national_yearly!$D:$AM, 10, FALSE), 1)</f>
        <v>0.28074327398515386</v>
      </c>
      <c r="R8" s="7">
        <f>$B8 * IFERROR(VLOOKUP("buildings|PM25|Asthma symptoms wheeze", US_national_yearly!$D:$AM, 26, FALSE) / VLOOKUP("buildings|PM25|Asthma symptoms wheeze", US_national_yearly!$D:$AM, 10, FALSE), 1)</f>
        <v>0.28074327398515386</v>
      </c>
      <c r="S8" s="7">
        <f>$B8 * IFERROR(VLOOKUP("buildings|PM25|Asthma symptoms wheeze", US_national_yearly!$D:$AM, 27, FALSE) / VLOOKUP("buildings|PM25|Asthma symptoms wheeze", US_national_yearly!$D:$AM, 10, FALSE), 1)</f>
        <v>0.28074327398515386</v>
      </c>
      <c r="T8" s="7">
        <f>$B8 * IFERROR(VLOOKUP("buildings|PM25|Asthma symptoms wheeze", US_national_yearly!$D:$AM, 28, FALSE) / VLOOKUP("buildings|PM25|Asthma symptoms wheeze", US_national_yearly!$D:$AM, 10, FALSE), 1)</f>
        <v>0.28074327398515386</v>
      </c>
      <c r="U8" s="7">
        <f>$B8 * IFERROR(VLOOKUP("buildings|PM25|Asthma symptoms wheeze", US_national_yearly!$D:$AM, 29, FALSE) / VLOOKUP("buildings|PM25|Asthma symptoms wheeze", US_national_yearly!$D:$AM, 10, FALSE), 1)</f>
        <v>0.28074327398515386</v>
      </c>
      <c r="V8" s="7">
        <f>$B8 * IFERROR(VLOOKUP("buildings|PM25|Asthma symptoms wheeze", US_national_yearly!$D:$AM, 30, FALSE) / VLOOKUP("buildings|PM25|Asthma symptoms wheeze", US_national_yearly!$D:$AM, 10, FALSE), 1)</f>
        <v>0.28074327398515386</v>
      </c>
      <c r="W8" s="7">
        <f>$B8 * IFERROR(VLOOKUP("buildings|PM25|Asthma symptoms wheeze", US_national_yearly!$D:$AM, 31, FALSE) / VLOOKUP("buildings|PM25|Asthma symptoms wheeze", US_national_yearly!$D:$AM, 10, FALSE), 1)</f>
        <v>0.28074327398515386</v>
      </c>
      <c r="X8" s="7">
        <f>$B8 * IFERROR(VLOOKUP("buildings|PM25|Asthma symptoms wheeze", US_national_yearly!$D:$AM, 32, FALSE) / VLOOKUP("buildings|PM25|Asthma symptoms wheeze", US_national_yearly!$D:$AM, 10, FALSE), 1)</f>
        <v>0.28074327398515386</v>
      </c>
      <c r="Y8" s="7">
        <f>$B8 * IFERROR(VLOOKUP("buildings|PM25|Asthma symptoms wheeze", US_national_yearly!$D:$AM, 33, FALSE) / VLOOKUP("buildings|PM25|Asthma symptoms wheeze", US_national_yearly!$D:$AM, 10, FALSE), 1)</f>
        <v>0.28074327398515386</v>
      </c>
      <c r="Z8" s="7">
        <f>$B8 * IFERROR(VLOOKUP("buildings|PM25|Asthma symptoms wheeze", US_national_yearly!$D:$AM, 34, FALSE) / VLOOKUP("buildings|PM25|Asthma symptoms wheeze", US_national_yearly!$D:$AM, 10, FALSE), 1)</f>
        <v>0.28074327398515386</v>
      </c>
      <c r="AA8" s="7">
        <f>$B8 * IFERROR(VLOOKUP("buildings|PM25|Asthma symptoms wheeze", US_national_yearly!$D:$AM, 35, FALSE) / VLOOKUP("buildings|PM25|Asthma symptoms wheeze", US_national_yearly!$D:$AM, 10, FALSE), 1)</f>
        <v>0.28074327398515386</v>
      </c>
      <c r="AB8" s="7">
        <f>$B8 * IFERROR(VLOOKUP("buildings|PM25|Asthma symptoms wheeze", US_national_yearly!$D:$AM, 36, FALSE) / VLOOKUP("buildings|PM25|Asthma symptoms wheeze", US_national_yearly!$D:$AM, 10, FALSE), 1)</f>
        <v>0.28074327398515386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2.5584320904292685E-3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2.5731793183821033E-3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2.5879265463349386E-3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2.6026737742877743E-3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2.6174210022406096E-3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2.6333346275077708E-3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2.6492482527749315E-3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2.6643835494457222E-3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2.679518846116512E-3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2.6946541427873018E-3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2.7097894394580925E-3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2.7249247361288823E-3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2.7358111145135413E-3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2.7466974928982003E-3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2.7575838712828593E-3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2.7684702496675179E-3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2.7793566280521769E-3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2.7897288744658335E-3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2.8001011208794915E-3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2.8104733672931481E-3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2.8208456137068052E-3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2.8312178601204632E-3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2.8412358059686968E-3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2.8512537518169314E-3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2.8612716976651651E-3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2.8712896435133996E-3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2.8813075893616333E-3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1.6129925157570002E-2</v>
      </c>
      <c r="C13" s="7">
        <f>$B13 * IFERROR(VLOOKUP("buildings|PM25|Non-fatal heart attacks", US_national_yearly!$D:$AM, 11, FALSE) / VLOOKUP("buildings|PM25|Non-fatal heart attacks", US_national_yearly!$D:$AM, 10, FALSE), 1)</f>
        <v>1.6599086855074267E-2</v>
      </c>
      <c r="D13" s="7">
        <f>$B13 * IFERROR(VLOOKUP("buildings|PM25|Non-fatal heart attacks", US_national_yearly!$D:$AM, 12, FALSE) / VLOOKUP("buildings|PM25|Non-fatal heart attacks", US_national_yearly!$D:$AM, 10, FALSE), 1)</f>
        <v>1.7068248552578533E-2</v>
      </c>
      <c r="E13" s="7">
        <f>$B13 * IFERROR(VLOOKUP("buildings|PM25|Non-fatal heart attacks", US_national_yearly!$D:$AM, 13, FALSE) / VLOOKUP("buildings|PM25|Non-fatal heart attacks", US_national_yearly!$D:$AM, 10, FALSE), 1)</f>
        <v>1.7537410250082795E-2</v>
      </c>
      <c r="F13" s="7">
        <f>$B13 * IFERROR(VLOOKUP("buildings|PM25|Non-fatal heart attacks", US_national_yearly!$D:$AM, 14, FALSE) / VLOOKUP("buildings|PM25|Non-fatal heart attacks", US_national_yearly!$D:$AM, 10, FALSE), 1)</f>
        <v>1.8006571947587063E-2</v>
      </c>
      <c r="G13" s="7">
        <f>$B13 * IFERROR(VLOOKUP("buildings|PM25|Non-fatal heart attacks", US_national_yearly!$D:$AM, 15, FALSE) / VLOOKUP("buildings|PM25|Non-fatal heart attacks", US_national_yearly!$D:$AM, 10, FALSE), 1)</f>
        <v>1.8449252805431516E-2</v>
      </c>
      <c r="H13" s="7">
        <f>$B13 * IFERROR(VLOOKUP("buildings|PM25|Non-fatal heart attacks", US_national_yearly!$D:$AM, 16, FALSE) / VLOOKUP("buildings|PM25|Non-fatal heart attacks", US_national_yearly!$D:$AM, 10, FALSE), 1)</f>
        <v>1.8891933663275965E-2</v>
      </c>
      <c r="I13" s="7">
        <f>$B13 * IFERROR(VLOOKUP("buildings|PM25|Non-fatal heart attacks", US_national_yearly!$D:$AM, 17, FALSE) / VLOOKUP("buildings|PM25|Non-fatal heart attacks", US_national_yearly!$D:$AM, 10, FALSE), 1)</f>
        <v>1.9248104795921244E-2</v>
      </c>
      <c r="J13" s="7">
        <f>$B13 * IFERROR(VLOOKUP("buildings|PM25|Non-fatal heart attacks", US_national_yearly!$D:$AM, 18, FALSE) / VLOOKUP("buildings|PM25|Non-fatal heart attacks", US_national_yearly!$D:$AM, 10, FALSE), 1)</f>
        <v>1.9604275928566523E-2</v>
      </c>
      <c r="K13" s="7">
        <f>$B13 * IFERROR(VLOOKUP("buildings|PM25|Non-fatal heart attacks", US_national_yearly!$D:$AM, 19, FALSE) / VLOOKUP("buildings|PM25|Non-fatal heart attacks", US_national_yearly!$D:$AM, 10, FALSE), 1)</f>
        <v>1.9960447061211799E-2</v>
      </c>
      <c r="L13" s="7">
        <f>$B13 * IFERROR(VLOOKUP("buildings|PM25|Non-fatal heart attacks", US_national_yearly!$D:$AM, 20, FALSE) / VLOOKUP("buildings|PM25|Non-fatal heart attacks", US_national_yearly!$D:$AM, 10, FALSE), 1)</f>
        <v>2.0316618193857074E-2</v>
      </c>
      <c r="M13" s="7">
        <f>$B13 * IFERROR(VLOOKUP("buildings|PM25|Non-fatal heart attacks", US_national_yearly!$D:$AM, 21, FALSE) / VLOOKUP("buildings|PM25|Non-fatal heart attacks", US_national_yearly!$D:$AM, 10, FALSE), 1)</f>
        <v>2.067278932650235E-2</v>
      </c>
      <c r="N13" s="7">
        <f>$B13 * IFERROR(VLOOKUP("buildings|PM25|Non-fatal heart attacks", US_national_yearly!$D:$AM, 22, FALSE) / VLOOKUP("buildings|PM25|Non-fatal heart attacks", US_national_yearly!$D:$AM, 10, FALSE), 1)</f>
        <v>2.0902881442752142E-2</v>
      </c>
      <c r="O13" s="7">
        <f>$B13 * IFERROR(VLOOKUP("buildings|PM25|Non-fatal heart attacks", US_national_yearly!$D:$AM, 23, FALSE) / VLOOKUP("buildings|PM25|Non-fatal heart attacks", US_national_yearly!$D:$AM, 10, FALSE), 1)</f>
        <v>2.1132973559001934E-2</v>
      </c>
      <c r="P13" s="7">
        <f>$B13 * IFERROR(VLOOKUP("buildings|PM25|Non-fatal heart attacks", US_national_yearly!$D:$AM, 24, FALSE) / VLOOKUP("buildings|PM25|Non-fatal heart attacks", US_national_yearly!$D:$AM, 10, FALSE), 1)</f>
        <v>2.1363065675251723E-2</v>
      </c>
      <c r="Q13" s="7">
        <f>$B13 * IFERROR(VLOOKUP("buildings|PM25|Non-fatal heart attacks", US_national_yearly!$D:$AM, 25, FALSE) / VLOOKUP("buildings|PM25|Non-fatal heart attacks", US_national_yearly!$D:$AM, 10, FALSE), 1)</f>
        <v>2.1593157791501515E-2</v>
      </c>
      <c r="R13" s="7">
        <f>$B13 * IFERROR(VLOOKUP("buildings|PM25|Non-fatal heart attacks", US_national_yearly!$D:$AM, 26, FALSE) / VLOOKUP("buildings|PM25|Non-fatal heart attacks", US_national_yearly!$D:$AM, 10, FALSE), 1)</f>
        <v>2.1823249907751304E-2</v>
      </c>
      <c r="S13" s="7">
        <f>$B13 * IFERROR(VLOOKUP("buildings|PM25|Non-fatal heart attacks", US_national_yearly!$D:$AM, 27, FALSE) / VLOOKUP("buildings|PM25|Non-fatal heart attacks", US_national_yearly!$D:$AM, 10, FALSE), 1)</f>
        <v>2.1944947823549252E-2</v>
      </c>
      <c r="T13" s="7">
        <f>$B13 * IFERROR(VLOOKUP("buildings|PM25|Non-fatal heart attacks", US_national_yearly!$D:$AM, 28, FALSE) / VLOOKUP("buildings|PM25|Non-fatal heart attacks", US_national_yearly!$D:$AM, 10, FALSE), 1)</f>
        <v>2.2066645739347201E-2</v>
      </c>
      <c r="U13" s="7">
        <f>$B13 * IFERROR(VLOOKUP("buildings|PM25|Non-fatal heart attacks", US_national_yearly!$D:$AM, 29, FALSE) / VLOOKUP("buildings|PM25|Non-fatal heart attacks", US_national_yearly!$D:$AM, 10, FALSE), 1)</f>
        <v>2.2188343655145153E-2</v>
      </c>
      <c r="V13" s="7">
        <f>$B13 * IFERROR(VLOOKUP("buildings|PM25|Non-fatal heart attacks", US_national_yearly!$D:$AM, 30, FALSE) / VLOOKUP("buildings|PM25|Non-fatal heart attacks", US_national_yearly!$D:$AM, 10, FALSE), 1)</f>
        <v>2.2310041570943098E-2</v>
      </c>
      <c r="W13" s="7">
        <f>$B13 * IFERROR(VLOOKUP("buildings|PM25|Non-fatal heart attacks", US_national_yearly!$D:$AM, 31, FALSE) / VLOOKUP("buildings|PM25|Non-fatal heart attacks", US_national_yearly!$D:$AM, 10, FALSE), 1)</f>
        <v>2.2431739486741049E-2</v>
      </c>
      <c r="X13" s="7">
        <f>$B13 * IFERROR(VLOOKUP("buildings|PM25|Non-fatal heart attacks", US_national_yearly!$D:$AM, 32, FALSE) / VLOOKUP("buildings|PM25|Non-fatal heart attacks", US_national_yearly!$D:$AM, 10, FALSE), 1)</f>
        <v>2.252436048927494E-2</v>
      </c>
      <c r="Y13" s="7">
        <f>$B13 * IFERROR(VLOOKUP("buildings|PM25|Non-fatal heart attacks", US_national_yearly!$D:$AM, 33, FALSE) / VLOOKUP("buildings|PM25|Non-fatal heart attacks", US_national_yearly!$D:$AM, 10, FALSE), 1)</f>
        <v>2.2616981491808831E-2</v>
      </c>
      <c r="Z13" s="7">
        <f>$B13 * IFERROR(VLOOKUP("buildings|PM25|Non-fatal heart attacks", US_national_yearly!$D:$AM, 34, FALSE) / VLOOKUP("buildings|PM25|Non-fatal heart attacks", US_national_yearly!$D:$AM, 10, FALSE), 1)</f>
        <v>2.2709602494342718E-2</v>
      </c>
      <c r="AA13" s="7">
        <f>$B13 * IFERROR(VLOOKUP("buildings|PM25|Non-fatal heart attacks", US_national_yearly!$D:$AM, 35, FALSE) / VLOOKUP("buildings|PM25|Non-fatal heart attacks", US_national_yearly!$D:$AM, 10, FALSE), 1)</f>
        <v>2.2802223496876609E-2</v>
      </c>
      <c r="AB13" s="7">
        <f>$B13 * IFERROR(VLOOKUP("buildings|PM25|Non-fatal heart attacks", US_national_yearly!$D:$AM, 36, FALSE) / VLOOKUP("buildings|PM25|Non-fatal heart attacks", US_national_yearly!$D:$AM, 10, FALSE), 1)</f>
        <v>2.2894844499410504E-2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15.501310051804506</v>
      </c>
      <c r="C14" s="7">
        <f>$B14 * IFERROR(VLOOKUP("buildings|PM25|Minor restricted activity days", US_national_yearly!$D:$AM, 11, FALSE) / VLOOKUP("buildings|PM25|Minor restricted activity days", US_national_yearly!$D:$AM, 10, FALSE), 1)</f>
        <v>15.539862678944862</v>
      </c>
      <c r="D14" s="7">
        <f>$B14 * IFERROR(VLOOKUP("buildings|PM25|Minor restricted activity days", US_national_yearly!$D:$AM, 12, FALSE) / VLOOKUP("buildings|PM25|Minor restricted activity days", US_national_yearly!$D:$AM, 10, FALSE), 1)</f>
        <v>15.578415306085217</v>
      </c>
      <c r="E14" s="7">
        <f>$B14 * IFERROR(VLOOKUP("buildings|PM25|Minor restricted activity days", US_national_yearly!$D:$AM, 13, FALSE) / VLOOKUP("buildings|PM25|Minor restricted activity days", US_national_yearly!$D:$AM, 10, FALSE), 1)</f>
        <v>15.616967933225574</v>
      </c>
      <c r="F14" s="7">
        <f>$B14 * IFERROR(VLOOKUP("buildings|PM25|Minor restricted activity days", US_national_yearly!$D:$AM, 14, FALSE) / VLOOKUP("buildings|PM25|Minor restricted activity days", US_national_yearly!$D:$AM, 10, FALSE), 1)</f>
        <v>15.655520560365927</v>
      </c>
      <c r="G14" s="7">
        <f>$B14 * IFERROR(VLOOKUP("buildings|PM25|Minor restricted activity days", US_national_yearly!$D:$AM, 15, FALSE) / VLOOKUP("buildings|PM25|Minor restricted activity days", US_national_yearly!$D:$AM, 10, FALSE), 1)</f>
        <v>15.712065558966213</v>
      </c>
      <c r="H14" s="7">
        <f>$B14 * IFERROR(VLOOKUP("buildings|PM25|Minor restricted activity days", US_national_yearly!$D:$AM, 16, FALSE) / VLOOKUP("buildings|PM25|Minor restricted activity days", US_national_yearly!$D:$AM, 10, FALSE), 1)</f>
        <v>15.768610557566491</v>
      </c>
      <c r="I14" s="7">
        <f>$B14 * IFERROR(VLOOKUP("buildings|PM25|Minor restricted activity days", US_national_yearly!$D:$AM, 17, FALSE) / VLOOKUP("buildings|PM25|Minor restricted activity days", US_national_yearly!$D:$AM, 10, FALSE), 1)</f>
        <v>15.86476243830286</v>
      </c>
      <c r="J14" s="7">
        <f>$B14 * IFERROR(VLOOKUP("buildings|PM25|Minor restricted activity days", US_national_yearly!$D:$AM, 18, FALSE) / VLOOKUP("buildings|PM25|Minor restricted activity days", US_national_yearly!$D:$AM, 10, FALSE), 1)</f>
        <v>15.960914319039235</v>
      </c>
      <c r="K14" s="7">
        <f>$B14 * IFERROR(VLOOKUP("buildings|PM25|Minor restricted activity days", US_national_yearly!$D:$AM, 19, FALSE) / VLOOKUP("buildings|PM25|Minor restricted activity days", US_national_yearly!$D:$AM, 10, FALSE), 1)</f>
        <v>16.057066199775598</v>
      </c>
      <c r="L14" s="7">
        <f>$B14 * IFERROR(VLOOKUP("buildings|PM25|Minor restricted activity days", US_national_yearly!$D:$AM, 20, FALSE) / VLOOKUP("buildings|PM25|Minor restricted activity days", US_national_yearly!$D:$AM, 10, FALSE), 1)</f>
        <v>16.153218080511962</v>
      </c>
      <c r="M14" s="7">
        <f>$B14 * IFERROR(VLOOKUP("buildings|PM25|Minor restricted activity days", US_national_yearly!$D:$AM, 21, FALSE) / VLOOKUP("buildings|PM25|Minor restricted activity days", US_national_yearly!$D:$AM, 10, FALSE), 1)</f>
        <v>16.249369961248327</v>
      </c>
      <c r="N14" s="7">
        <f>$B14 * IFERROR(VLOOKUP("buildings|PM25|Minor restricted activity days", US_national_yearly!$D:$AM, 22, FALSE) / VLOOKUP("buildings|PM25|Minor restricted activity days", US_national_yearly!$D:$AM, 10, FALSE), 1)</f>
        <v>16.380017169211015</v>
      </c>
      <c r="O14" s="7">
        <f>$B14 * IFERROR(VLOOKUP("buildings|PM25|Minor restricted activity days", US_national_yearly!$D:$AM, 23, FALSE) / VLOOKUP("buildings|PM25|Minor restricted activity days", US_national_yearly!$D:$AM, 10, FALSE), 1)</f>
        <v>16.510664377173704</v>
      </c>
      <c r="P14" s="7">
        <f>$B14 * IFERROR(VLOOKUP("buildings|PM25|Minor restricted activity days", US_national_yearly!$D:$AM, 24, FALSE) / VLOOKUP("buildings|PM25|Minor restricted activity days", US_national_yearly!$D:$AM, 10, FALSE), 1)</f>
        <v>16.641311585136389</v>
      </c>
      <c r="Q14" s="7">
        <f>$B14 * IFERROR(VLOOKUP("buildings|PM25|Minor restricted activity days", US_national_yearly!$D:$AM, 25, FALSE) / VLOOKUP("buildings|PM25|Minor restricted activity days", US_national_yearly!$D:$AM, 10, FALSE), 1)</f>
        <v>16.771958793099074</v>
      </c>
      <c r="R14" s="7">
        <f>$B14 * IFERROR(VLOOKUP("buildings|PM25|Minor restricted activity days", US_national_yearly!$D:$AM, 26, FALSE) / VLOOKUP("buildings|PM25|Minor restricted activity days", US_national_yearly!$D:$AM, 10, FALSE), 1)</f>
        <v>16.902606001061759</v>
      </c>
      <c r="S14" s="7">
        <f>$B14 * IFERROR(VLOOKUP("buildings|PM25|Minor restricted activity days", US_national_yearly!$D:$AM, 27, FALSE) / VLOOKUP("buildings|PM25|Minor restricted activity days", US_national_yearly!$D:$AM, 10, FALSE), 1)</f>
        <v>17.034062836839578</v>
      </c>
      <c r="T14" s="7">
        <f>$B14 * IFERROR(VLOOKUP("buildings|PM25|Minor restricted activity days", US_national_yearly!$D:$AM, 28, FALSE) / VLOOKUP("buildings|PM25|Minor restricted activity days", US_national_yearly!$D:$AM, 10, FALSE), 1)</f>
        <v>17.165519672617393</v>
      </c>
      <c r="U14" s="7">
        <f>$B14 * IFERROR(VLOOKUP("buildings|PM25|Minor restricted activity days", US_national_yearly!$D:$AM, 29, FALSE) / VLOOKUP("buildings|PM25|Minor restricted activity days", US_national_yearly!$D:$AM, 10, FALSE), 1)</f>
        <v>17.296976508395208</v>
      </c>
      <c r="V14" s="7">
        <f>$B14 * IFERROR(VLOOKUP("buildings|PM25|Minor restricted activity days", US_national_yearly!$D:$AM, 30, FALSE) / VLOOKUP("buildings|PM25|Minor restricted activity days", US_national_yearly!$D:$AM, 10, FALSE), 1)</f>
        <v>17.428433344173023</v>
      </c>
      <c r="W14" s="7">
        <f>$B14 * IFERROR(VLOOKUP("buildings|PM25|Minor restricted activity days", US_national_yearly!$D:$AM, 31, FALSE) / VLOOKUP("buildings|PM25|Minor restricted activity days", US_national_yearly!$D:$AM, 10, FALSE), 1)</f>
        <v>17.559890179950841</v>
      </c>
      <c r="X14" s="7">
        <f>$B14 * IFERROR(VLOOKUP("buildings|PM25|Minor restricted activity days", US_national_yearly!$D:$AM, 32, FALSE) / VLOOKUP("buildings|PM25|Minor restricted activity days", US_national_yearly!$D:$AM, 10, FALSE), 1)</f>
        <v>17.674034885347652</v>
      </c>
      <c r="Y14" s="7">
        <f>$B14 * IFERROR(VLOOKUP("buildings|PM25|Minor restricted activity days", US_national_yearly!$D:$AM, 33, FALSE) / VLOOKUP("buildings|PM25|Minor restricted activity days", US_national_yearly!$D:$AM, 10, FALSE), 1)</f>
        <v>17.788179590744463</v>
      </c>
      <c r="Z14" s="7">
        <f>$B14 * IFERROR(VLOOKUP("buildings|PM25|Minor restricted activity days", US_national_yearly!$D:$AM, 34, FALSE) / VLOOKUP("buildings|PM25|Minor restricted activity days", US_national_yearly!$D:$AM, 10, FALSE), 1)</f>
        <v>17.90232429614127</v>
      </c>
      <c r="AA14" s="7">
        <f>$B14 * IFERROR(VLOOKUP("buildings|PM25|Minor restricted activity days", US_national_yearly!$D:$AM, 35, FALSE) / VLOOKUP("buildings|PM25|Minor restricted activity days", US_national_yearly!$D:$AM, 10, FALSE), 1)</f>
        <v>18.016469001538077</v>
      </c>
      <c r="AB14" s="7">
        <f>$B14 * IFERROR(VLOOKUP("buildings|PM25|Minor restricted activity days", US_national_yearly!$D:$AM, 36, FALSE) / VLOOKUP("buildings|PM25|Minor restricted activity days", US_national_yearly!$D:$AM, 10, FALSE), 1)</f>
        <v>18.130613706934888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2.6464403214752306</v>
      </c>
      <c r="C15" s="7">
        <f>$B15 * IFERROR(VLOOKUP("buildings|PM25|Work loss days", US_national_yearly!$D:$AM, 11, FALSE) / VLOOKUP("buildings|PM25|Work loss days", US_national_yearly!$D:$AM, 10, FALSE), 1)</f>
        <v>2.6547454219356537</v>
      </c>
      <c r="D15" s="7">
        <f>$B15 * IFERROR(VLOOKUP("buildings|PM25|Work loss days", US_national_yearly!$D:$AM, 12, FALSE) / VLOOKUP("buildings|PM25|Work loss days", US_national_yearly!$D:$AM, 10, FALSE), 1)</f>
        <v>2.6630505223960763</v>
      </c>
      <c r="E15" s="7">
        <f>$B15 * IFERROR(VLOOKUP("buildings|PM25|Work loss days", US_national_yearly!$D:$AM, 13, FALSE) / VLOOKUP("buildings|PM25|Work loss days", US_national_yearly!$D:$AM, 10, FALSE), 1)</f>
        <v>2.671355622856499</v>
      </c>
      <c r="F15" s="7">
        <f>$B15 * IFERROR(VLOOKUP("buildings|PM25|Work loss days", US_national_yearly!$D:$AM, 14, FALSE) / VLOOKUP("buildings|PM25|Work loss days", US_national_yearly!$D:$AM, 10, FALSE), 1)</f>
        <v>2.6796607233169216</v>
      </c>
      <c r="G15" s="7">
        <f>$B15 * IFERROR(VLOOKUP("buildings|PM25|Work loss days", US_national_yearly!$D:$AM, 15, FALSE) / VLOOKUP("buildings|PM25|Work loss days", US_national_yearly!$D:$AM, 10, FALSE), 1)</f>
        <v>2.6905162338731099</v>
      </c>
      <c r="H15" s="7">
        <f>$B15 * IFERROR(VLOOKUP("buildings|PM25|Work loss days", US_national_yearly!$D:$AM, 16, FALSE) / VLOOKUP("buildings|PM25|Work loss days", US_national_yearly!$D:$AM, 10, FALSE), 1)</f>
        <v>2.7013717444292977</v>
      </c>
      <c r="I15" s="7">
        <f>$B15 * IFERROR(VLOOKUP("buildings|PM25|Work loss days", US_national_yearly!$D:$AM, 17, FALSE) / VLOOKUP("buildings|PM25|Work loss days", US_national_yearly!$D:$AM, 10, FALSE), 1)</f>
        <v>2.7173148670093084</v>
      </c>
      <c r="J15" s="7">
        <f>$B15 * IFERROR(VLOOKUP("buildings|PM25|Work loss days", US_national_yearly!$D:$AM, 18, FALSE) / VLOOKUP("buildings|PM25|Work loss days", US_national_yearly!$D:$AM, 10, FALSE), 1)</f>
        <v>2.733257989589319</v>
      </c>
      <c r="K15" s="7">
        <f>$B15 * IFERROR(VLOOKUP("buildings|PM25|Work loss days", US_national_yearly!$D:$AM, 19, FALSE) / VLOOKUP("buildings|PM25|Work loss days", US_national_yearly!$D:$AM, 10, FALSE), 1)</f>
        <v>2.7492011121693292</v>
      </c>
      <c r="L15" s="7">
        <f>$B15 * IFERROR(VLOOKUP("buildings|PM25|Work loss days", US_national_yearly!$D:$AM, 20, FALSE) / VLOOKUP("buildings|PM25|Work loss days", US_national_yearly!$D:$AM, 10, FALSE), 1)</f>
        <v>2.7651442347493398</v>
      </c>
      <c r="M15" s="7">
        <f>$B15 * IFERROR(VLOOKUP("buildings|PM25|Work loss days", US_national_yearly!$D:$AM, 21, FALSE) / VLOOKUP("buildings|PM25|Work loss days", US_national_yearly!$D:$AM, 10, FALSE), 1)</f>
        <v>2.7810873573293509</v>
      </c>
      <c r="N15" s="7">
        <f>$B15 * IFERROR(VLOOKUP("buildings|PM25|Work loss days", US_national_yearly!$D:$AM, 22, FALSE) / VLOOKUP("buildings|PM25|Work loss days", US_national_yearly!$D:$AM, 10, FALSE), 1)</f>
        <v>2.801132094170514</v>
      </c>
      <c r="O15" s="7">
        <f>$B15 * IFERROR(VLOOKUP("buildings|PM25|Work loss days", US_national_yearly!$D:$AM, 23, FALSE) / VLOOKUP("buildings|PM25|Work loss days", US_national_yearly!$D:$AM, 10, FALSE), 1)</f>
        <v>2.8211768310116776</v>
      </c>
      <c r="P15" s="7">
        <f>$B15 * IFERROR(VLOOKUP("buildings|PM25|Work loss days", US_national_yearly!$D:$AM, 24, FALSE) / VLOOKUP("buildings|PM25|Work loss days", US_national_yearly!$D:$AM, 10, FALSE), 1)</f>
        <v>2.8412215678528407</v>
      </c>
      <c r="Q15" s="7">
        <f>$B15 * IFERROR(VLOOKUP("buildings|PM25|Work loss days", US_national_yearly!$D:$AM, 25, FALSE) / VLOOKUP("buildings|PM25|Work loss days", US_national_yearly!$D:$AM, 10, FALSE), 1)</f>
        <v>2.8612663046940039</v>
      </c>
      <c r="R15" s="7">
        <f>$B15 * IFERROR(VLOOKUP("buildings|PM25|Work loss days", US_national_yearly!$D:$AM, 26, FALSE) / VLOOKUP("buildings|PM25|Work loss days", US_national_yearly!$D:$AM, 10, FALSE), 1)</f>
        <v>2.8813110415351679</v>
      </c>
      <c r="S15" s="7">
        <f>$B15 * IFERROR(VLOOKUP("buildings|PM25|Work loss days", US_national_yearly!$D:$AM, 27, FALSE) / VLOOKUP("buildings|PM25|Work loss days", US_national_yearly!$D:$AM, 10, FALSE), 1)</f>
        <v>2.9034529446044837</v>
      </c>
      <c r="T15" s="7">
        <f>$B15 * IFERROR(VLOOKUP("buildings|PM25|Work loss days", US_national_yearly!$D:$AM, 28, FALSE) / VLOOKUP("buildings|PM25|Work loss days", US_national_yearly!$D:$AM, 10, FALSE), 1)</f>
        <v>2.9255948476738003</v>
      </c>
      <c r="U15" s="7">
        <f>$B15 * IFERROR(VLOOKUP("buildings|PM25|Work loss days", US_national_yearly!$D:$AM, 29, FALSE) / VLOOKUP("buildings|PM25|Work loss days", US_national_yearly!$D:$AM, 10, FALSE), 1)</f>
        <v>2.9477367507431169</v>
      </c>
      <c r="V15" s="7">
        <f>$B15 * IFERROR(VLOOKUP("buildings|PM25|Work loss days", US_national_yearly!$D:$AM, 30, FALSE) / VLOOKUP("buildings|PM25|Work loss days", US_national_yearly!$D:$AM, 10, FALSE), 1)</f>
        <v>2.9698786538124331</v>
      </c>
      <c r="W15" s="7">
        <f>$B15 * IFERROR(VLOOKUP("buildings|PM25|Work loss days", US_national_yearly!$D:$AM, 31, FALSE) / VLOOKUP("buildings|PM25|Work loss days", US_national_yearly!$D:$AM, 10, FALSE), 1)</f>
        <v>2.9920205568817497</v>
      </c>
      <c r="X15" s="7">
        <f>$B15 * IFERROR(VLOOKUP("buildings|PM25|Work loss days", US_national_yearly!$D:$AM, 32, FALSE) / VLOOKUP("buildings|PM25|Work loss days", US_national_yearly!$D:$AM, 10, FALSE), 1)</f>
        <v>3.0116693855240384</v>
      </c>
      <c r="Y15" s="7">
        <f>$B15 * IFERROR(VLOOKUP("buildings|PM25|Work loss days", US_national_yearly!$D:$AM, 33, FALSE) / VLOOKUP("buildings|PM25|Work loss days", US_national_yearly!$D:$AM, 10, FALSE), 1)</f>
        <v>3.0313182141663275</v>
      </c>
      <c r="Z15" s="7">
        <f>$B15 * IFERROR(VLOOKUP("buildings|PM25|Work loss days", US_national_yearly!$D:$AM, 34, FALSE) / VLOOKUP("buildings|PM25|Work loss days", US_national_yearly!$D:$AM, 10, FALSE), 1)</f>
        <v>3.0509670428086162</v>
      </c>
      <c r="AA15" s="7">
        <f>$B15 * IFERROR(VLOOKUP("buildings|PM25|Work loss days", US_national_yearly!$D:$AM, 35, FALSE) / VLOOKUP("buildings|PM25|Work loss days", US_national_yearly!$D:$AM, 10, FALSE), 1)</f>
        <v>3.0706158714509053</v>
      </c>
      <c r="AB15" s="7">
        <f>$B15 * IFERROR(VLOOKUP("buildings|PM25|Work loss days", US_national_yearly!$D:$AM, 36, FALSE) / VLOOKUP("buildings|PM25|Work loss days", US_national_yearly!$D:$AM, 10, FALSE), 1)</f>
        <v>3.090264700093194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3.9715342509653653E-3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4.0902289005382633E-3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4.2089235501111622E-3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4.3276181996840593E-3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4.4463128492569582E-3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4.5600402905068109E-3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4.6737677317566636E-3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4.7711288853132926E-3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4.8684900388699208E-3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4.9658511924265507E-3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5.0632123459831797E-3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5.1605734995398096E-3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5.2255864876684533E-3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5.2905994757970988E-3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5.3556124639257434E-3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5.4206254520543888E-3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5.4856384401830325E-3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5.5201841602466883E-3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5.5547298803103424E-3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5.5892756003739982E-3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5.6238213204376523E-3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5.658367040501309E-3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5.6817253535117341E-3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5.7050836665221583E-3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5.7284419795325843E-3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5.7518002925430085E-3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5.7751586055534336E-3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2.0639417720110728E-3</v>
      </c>
      <c r="C2" s="7">
        <f>$B2 * IFERROR(VLOOKUP("buildings|NOx|Premature mortality", US_national_yearly!$D:$AM, 11, FALSE) / VLOOKUP("buildings|NOx|Premature mortality", US_national_yearly!$D:$AM, 10, FALSE), 1)</f>
        <v>2.0942996392014565E-3</v>
      </c>
      <c r="D2" s="7">
        <f>$B2 * IFERROR(VLOOKUP("buildings|NOx|Premature mortality", US_national_yearly!$D:$AM, 12, FALSE) / VLOOKUP("buildings|NOx|Premature mortality", US_national_yearly!$D:$AM, 10, FALSE), 1)</f>
        <v>2.1246575063918398E-3</v>
      </c>
      <c r="E2" s="7">
        <f>$B2 * IFERROR(VLOOKUP("buildings|NOx|Premature mortality", US_national_yearly!$D:$AM, 13, FALSE) / VLOOKUP("buildings|NOx|Premature mortality", US_national_yearly!$D:$AM, 10, FALSE), 1)</f>
        <v>2.1550153735822235E-3</v>
      </c>
      <c r="F2" s="7">
        <f>$B2 * IFERROR(VLOOKUP("buildings|NOx|Premature mortality", US_national_yearly!$D:$AM, 14, FALSE) / VLOOKUP("buildings|NOx|Premature mortality", US_national_yearly!$D:$AM, 10, FALSE), 1)</f>
        <v>2.1853732407726067E-3</v>
      </c>
      <c r="G2" s="7">
        <f>$B2 * IFERROR(VLOOKUP("buildings|NOx|Premature mortality", US_national_yearly!$D:$AM, 15, FALSE) / VLOOKUP("buildings|NOx|Premature mortality", US_national_yearly!$D:$AM, 10, FALSE), 1)</f>
        <v>2.2398766131692636E-3</v>
      </c>
      <c r="H2" s="7">
        <f>$B2 * IFERROR(VLOOKUP("buildings|NOx|Premature mortality", US_national_yearly!$D:$AM, 16, FALSE) / VLOOKUP("buildings|NOx|Premature mortality", US_national_yearly!$D:$AM, 10, FALSE), 1)</f>
        <v>2.294379985565921E-3</v>
      </c>
      <c r="I2" s="7">
        <f>$B2 * IFERROR(VLOOKUP("buildings|NOx|Premature mortality", US_national_yearly!$D:$AM, 17, FALSE) / VLOOKUP("buildings|NOx|Premature mortality", US_national_yearly!$D:$AM, 10, FALSE), 1)</f>
        <v>2.3296030007887276E-3</v>
      </c>
      <c r="J2" s="7">
        <f>$B2 * IFERROR(VLOOKUP("buildings|NOx|Premature mortality", US_national_yearly!$D:$AM, 18, FALSE) / VLOOKUP("buildings|NOx|Premature mortality", US_national_yearly!$D:$AM, 10, FALSE), 1)</f>
        <v>2.3648260160115341E-3</v>
      </c>
      <c r="K2" s="7">
        <f>$B2 * IFERROR(VLOOKUP("buildings|NOx|Premature mortality", US_national_yearly!$D:$AM, 19, FALSE) / VLOOKUP("buildings|NOx|Premature mortality", US_national_yearly!$D:$AM, 10, FALSE), 1)</f>
        <v>2.4000490312343407E-3</v>
      </c>
      <c r="L2" s="7">
        <f>$B2 * IFERROR(VLOOKUP("buildings|NOx|Premature mortality", US_national_yearly!$D:$AM, 20, FALSE) / VLOOKUP("buildings|NOx|Premature mortality", US_national_yearly!$D:$AM, 10, FALSE), 1)</f>
        <v>2.4352720464571472E-3</v>
      </c>
      <c r="M2" s="7">
        <f>$B2 * IFERROR(VLOOKUP("buildings|NOx|Premature mortality", US_national_yearly!$D:$AM, 21, FALSE) / VLOOKUP("buildings|NOx|Premature mortality", US_national_yearly!$D:$AM, 10, FALSE), 1)</f>
        <v>2.4704950616799537E-3</v>
      </c>
      <c r="N2" s="7">
        <f>$B2 * IFERROR(VLOOKUP("buildings|NOx|Premature mortality", US_national_yearly!$D:$AM, 22, FALSE) / VLOOKUP("buildings|NOx|Premature mortality", US_national_yearly!$D:$AM, 10, FALSE), 1)</f>
        <v>2.4965939713886818E-3</v>
      </c>
      <c r="O2" s="7">
        <f>$B2 * IFERROR(VLOOKUP("buildings|NOx|Premature mortality", US_national_yearly!$D:$AM, 23, FALSE) / VLOOKUP("buildings|NOx|Premature mortality", US_national_yearly!$D:$AM, 10, FALSE), 1)</f>
        <v>2.5226928810974099E-3</v>
      </c>
      <c r="P2" s="7">
        <f>$B2 * IFERROR(VLOOKUP("buildings|NOx|Premature mortality", US_national_yearly!$D:$AM, 24, FALSE) / VLOOKUP("buildings|NOx|Premature mortality", US_national_yearly!$D:$AM, 10, FALSE), 1)</f>
        <v>2.5487917908061384E-3</v>
      </c>
      <c r="Q2" s="7">
        <f>$B2 * IFERROR(VLOOKUP("buildings|NOx|Premature mortality", US_national_yearly!$D:$AM, 25, FALSE) / VLOOKUP("buildings|NOx|Premature mortality", US_national_yearly!$D:$AM, 10, FALSE), 1)</f>
        <v>2.574890700514866E-3</v>
      </c>
      <c r="R2" s="7">
        <f>$B2 * IFERROR(VLOOKUP("buildings|NOx|Premature mortality", US_national_yearly!$D:$AM, 26, FALSE) / VLOOKUP("buildings|NOx|Premature mortality", US_national_yearly!$D:$AM, 10, FALSE), 1)</f>
        <v>2.6009896102235945E-3</v>
      </c>
      <c r="S2" s="7">
        <f>$B2 * IFERROR(VLOOKUP("buildings|NOx|Premature mortality", US_national_yearly!$D:$AM, 27, FALSE) / VLOOKUP("buildings|NOx|Premature mortality", US_national_yearly!$D:$AM, 10, FALSE), 1)</f>
        <v>2.6128552035445778E-3</v>
      </c>
      <c r="T2" s="7">
        <f>$B2 * IFERROR(VLOOKUP("buildings|NOx|Premature mortality", US_national_yearly!$D:$AM, 28, FALSE) / VLOOKUP("buildings|NOx|Premature mortality", US_national_yearly!$D:$AM, 10, FALSE), 1)</f>
        <v>2.6247207968655606E-3</v>
      </c>
      <c r="U2" s="7">
        <f>$B2 * IFERROR(VLOOKUP("buildings|NOx|Premature mortality", US_national_yearly!$D:$AM, 29, FALSE) / VLOOKUP("buildings|NOx|Premature mortality", US_national_yearly!$D:$AM, 10, FALSE), 1)</f>
        <v>2.6365863901865439E-3</v>
      </c>
      <c r="V2" s="7">
        <f>$B2 * IFERROR(VLOOKUP("buildings|NOx|Premature mortality", US_national_yearly!$D:$AM, 30, FALSE) / VLOOKUP("buildings|NOx|Premature mortality", US_national_yearly!$D:$AM, 10, FALSE), 1)</f>
        <v>2.6484519835075272E-3</v>
      </c>
      <c r="W2" s="7">
        <f>$B2 * IFERROR(VLOOKUP("buildings|NOx|Premature mortality", US_national_yearly!$D:$AM, 31, FALSE) / VLOOKUP("buildings|NOx|Premature mortality", US_national_yearly!$D:$AM, 10, FALSE), 1)</f>
        <v>2.66031757682851E-3</v>
      </c>
      <c r="X2" s="7">
        <f>$B2 * IFERROR(VLOOKUP("buildings|NOx|Premature mortality", US_national_yearly!$D:$AM, 32, FALSE) / VLOOKUP("buildings|NOx|Premature mortality", US_national_yearly!$D:$AM, 10, FALSE), 1)</f>
        <v>2.6607354733528162E-3</v>
      </c>
      <c r="Y2" s="7">
        <f>$B2 * IFERROR(VLOOKUP("buildings|NOx|Premature mortality", US_national_yearly!$D:$AM, 33, FALSE) / VLOOKUP("buildings|NOx|Premature mortality", US_national_yearly!$D:$AM, 10, FALSE), 1)</f>
        <v>2.6611533698771219E-3</v>
      </c>
      <c r="Z2" s="7">
        <f>$B2 * IFERROR(VLOOKUP("buildings|NOx|Premature mortality", US_national_yearly!$D:$AM, 34, FALSE) / VLOOKUP("buildings|NOx|Premature mortality", US_national_yearly!$D:$AM, 10, FALSE), 1)</f>
        <v>2.661571266401428E-3</v>
      </c>
      <c r="AA2" s="7">
        <f>$B2 * IFERROR(VLOOKUP("buildings|NOx|Premature mortality", US_national_yearly!$D:$AM, 35, FALSE) / VLOOKUP("buildings|NOx|Premature mortality", US_national_yearly!$D:$AM, 10, FALSE), 1)</f>
        <v>2.6619891629257337E-3</v>
      </c>
      <c r="AB2" s="7">
        <f>$B2 * IFERROR(VLOOKUP("buildings|NOx|Premature mortality", US_national_yearly!$D:$AM, 36, FALSE) / VLOOKUP("buildings|NOx|Premature mortality", US_national_yearly!$D:$AM, 10, FALSE), 1)</f>
        <v>2.6624070594500398E-3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8.0767210274566349E-6</v>
      </c>
      <c r="C3" s="7">
        <f>$B3 * IFERROR(VLOOKUP("buildings|NOx|Infant mortality", US_national_yearly!$D:$AM, 11, FALSE) / VLOOKUP("buildings|NOx|Infant mortality", US_national_yearly!$D:$AM, 10, FALSE), 1)</f>
        <v>8.0000016568309018E-6</v>
      </c>
      <c r="D3" s="7">
        <f>$B3 * IFERROR(VLOOKUP("buildings|NOx|Infant mortality", US_national_yearly!$D:$AM, 12, FALSE) / VLOOKUP("buildings|NOx|Infant mortality", US_national_yearly!$D:$AM, 10, FALSE), 1)</f>
        <v>7.9232822862051653E-6</v>
      </c>
      <c r="E3" s="7">
        <f>$B3 * IFERROR(VLOOKUP("buildings|NOx|Infant mortality", US_national_yearly!$D:$AM, 13, FALSE) / VLOOKUP("buildings|NOx|Infant mortality", US_national_yearly!$D:$AM, 10, FALSE), 1)</f>
        <v>7.8465629155794322E-6</v>
      </c>
      <c r="F3" s="7">
        <f>$B3 * IFERROR(VLOOKUP("buildings|NOx|Infant mortality", US_national_yearly!$D:$AM, 14, FALSE) / VLOOKUP("buildings|NOx|Infant mortality", US_national_yearly!$D:$AM, 10, FALSE), 1)</f>
        <v>7.7698435449536957E-6</v>
      </c>
      <c r="G3" s="7">
        <f>$B3 * IFERROR(VLOOKUP("buildings|NOx|Infant mortality", US_national_yearly!$D:$AM, 15, FALSE) / VLOOKUP("buildings|NOx|Infant mortality", US_national_yearly!$D:$AM, 10, FALSE), 1)</f>
        <v>5.1571361188092062E-6</v>
      </c>
      <c r="H3" s="7">
        <f>$B3 * IFERROR(VLOOKUP("buildings|NOx|Infant mortality", US_national_yearly!$D:$AM, 16, FALSE) / VLOOKUP("buildings|NOx|Infant mortality", US_national_yearly!$D:$AM, 10, FALSE), 1)</f>
        <v>2.5444286926647168E-6</v>
      </c>
      <c r="I3" s="7">
        <f>$B3 * IFERROR(VLOOKUP("buildings|NOx|Infant mortality", US_national_yearly!$D:$AM, 17, FALSE) / VLOOKUP("buildings|NOx|Infant mortality", US_national_yearly!$D:$AM, 10, FALSE), 1)</f>
        <v>2.5264534276305178E-6</v>
      </c>
      <c r="J3" s="7">
        <f>$B3 * IFERROR(VLOOKUP("buildings|NOx|Infant mortality", US_national_yearly!$D:$AM, 18, FALSE) / VLOOKUP("buildings|NOx|Infant mortality", US_national_yearly!$D:$AM, 10, FALSE), 1)</f>
        <v>2.5084781625963184E-6</v>
      </c>
      <c r="K3" s="7">
        <f>$B3 * IFERROR(VLOOKUP("buildings|NOx|Infant mortality", US_national_yearly!$D:$AM, 19, FALSE) / VLOOKUP("buildings|NOx|Infant mortality", US_national_yearly!$D:$AM, 10, FALSE), 1)</f>
        <v>2.4905028975621194E-6</v>
      </c>
      <c r="L3" s="7">
        <f>$B3 * IFERROR(VLOOKUP("buildings|NOx|Infant mortality", US_national_yearly!$D:$AM, 20, FALSE) / VLOOKUP("buildings|NOx|Infant mortality", US_national_yearly!$D:$AM, 10, FALSE), 1)</f>
        <v>2.4725276325279204E-6</v>
      </c>
      <c r="M3" s="7">
        <f>$B3 * IFERROR(VLOOKUP("buildings|NOx|Infant mortality", US_national_yearly!$D:$AM, 21, FALSE) / VLOOKUP("buildings|NOx|Infant mortality", US_national_yearly!$D:$AM, 10, FALSE), 1)</f>
        <v>2.454552367493721E-6</v>
      </c>
      <c r="N3" s="7">
        <f>$B3 * IFERROR(VLOOKUP("buildings|NOx|Infant mortality", US_national_yearly!$D:$AM, 22, FALSE) / VLOOKUP("buildings|NOx|Infant mortality", US_national_yearly!$D:$AM, 10, FALSE), 1)</f>
        <v>2.4426411657893316E-6</v>
      </c>
      <c r="O3" s="7">
        <f>$B3 * IFERROR(VLOOKUP("buildings|NOx|Infant mortality", US_national_yearly!$D:$AM, 23, FALSE) / VLOOKUP("buildings|NOx|Infant mortality", US_national_yearly!$D:$AM, 10, FALSE), 1)</f>
        <v>2.4307299640849427E-6</v>
      </c>
      <c r="P3" s="7">
        <f>$B3 * IFERROR(VLOOKUP("buildings|NOx|Infant mortality", US_national_yearly!$D:$AM, 24, FALSE) / VLOOKUP("buildings|NOx|Infant mortality", US_national_yearly!$D:$AM, 10, FALSE), 1)</f>
        <v>2.4188187623805534E-6</v>
      </c>
      <c r="Q3" s="7">
        <f>$B3 * IFERROR(VLOOKUP("buildings|NOx|Infant mortality", US_national_yearly!$D:$AM, 25, FALSE) / VLOOKUP("buildings|NOx|Infant mortality", US_national_yearly!$D:$AM, 10, FALSE), 1)</f>
        <v>2.4069075606761645E-6</v>
      </c>
      <c r="R3" s="7">
        <f>$B3 * IFERROR(VLOOKUP("buildings|NOx|Infant mortality", US_national_yearly!$D:$AM, 26, FALSE) / VLOOKUP("buildings|NOx|Infant mortality", US_national_yearly!$D:$AM, 10, FALSE), 1)</f>
        <v>2.3949963589717756E-6</v>
      </c>
      <c r="S3" s="7">
        <f>$B3 * IFERROR(VLOOKUP("buildings|NOx|Infant mortality", US_national_yearly!$D:$AM, 27, FALSE) / VLOOKUP("buildings|NOx|Infant mortality", US_national_yearly!$D:$AM, 10, FALSE), 1)</f>
        <v>2.3806679440639926E-6</v>
      </c>
      <c r="T3" s="7">
        <f>$B3 * IFERROR(VLOOKUP("buildings|NOx|Infant mortality", US_national_yearly!$D:$AM, 28, FALSE) / VLOOKUP("buildings|NOx|Infant mortality", US_national_yearly!$D:$AM, 10, FALSE), 1)</f>
        <v>2.3663395291562105E-6</v>
      </c>
      <c r="U3" s="7">
        <f>$B3 * IFERROR(VLOOKUP("buildings|NOx|Infant mortality", US_national_yearly!$D:$AM, 29, FALSE) / VLOOKUP("buildings|NOx|Infant mortality", US_national_yearly!$D:$AM, 10, FALSE), 1)</f>
        <v>2.352011114248428E-6</v>
      </c>
      <c r="V3" s="7">
        <f>$B3 * IFERROR(VLOOKUP("buildings|NOx|Infant mortality", US_national_yearly!$D:$AM, 30, FALSE) / VLOOKUP("buildings|NOx|Infant mortality", US_national_yearly!$D:$AM, 10, FALSE), 1)</f>
        <v>2.3376826993406454E-6</v>
      </c>
      <c r="W3" s="7">
        <f>$B3 * IFERROR(VLOOKUP("buildings|NOx|Infant mortality", US_national_yearly!$D:$AM, 31, FALSE) / VLOOKUP("buildings|NOx|Infant mortality", US_national_yearly!$D:$AM, 10, FALSE), 1)</f>
        <v>2.3233542844328633E-6</v>
      </c>
      <c r="X3" s="7">
        <f>$B3 * IFERROR(VLOOKUP("buildings|NOx|Infant mortality", US_national_yearly!$D:$AM, 32, FALSE) / VLOOKUP("buildings|NOx|Infant mortality", US_national_yearly!$D:$AM, 10, FALSE), 1)</f>
        <v>2.3081935656589811E-6</v>
      </c>
      <c r="Y3" s="7">
        <f>$B3 * IFERROR(VLOOKUP("buildings|NOx|Infant mortality", US_national_yearly!$D:$AM, 33, FALSE) / VLOOKUP("buildings|NOx|Infant mortality", US_national_yearly!$D:$AM, 10, FALSE), 1)</f>
        <v>2.2930328468850989E-6</v>
      </c>
      <c r="Z3" s="7">
        <f>$B3 * IFERROR(VLOOKUP("buildings|NOx|Infant mortality", US_national_yearly!$D:$AM, 34, FALSE) / VLOOKUP("buildings|NOx|Infant mortality", US_national_yearly!$D:$AM, 10, FALSE), 1)</f>
        <v>2.2778721281112166E-6</v>
      </c>
      <c r="AA3" s="7">
        <f>$B3 * IFERROR(VLOOKUP("buildings|NOx|Infant mortality", US_national_yearly!$D:$AM, 35, FALSE) / VLOOKUP("buildings|NOx|Infant mortality", US_national_yearly!$D:$AM, 10, FALSE), 1)</f>
        <v>2.2627114093373344E-6</v>
      </c>
      <c r="AB3" s="7">
        <f>$B3 * IFERROR(VLOOKUP("buildings|NOx|Infant mortality", US_national_yearly!$D:$AM, 36, FALSE) / VLOOKUP("buildings|NOx|Infant mortality", US_national_yearly!$D:$AM, 10, FALSE), 1)</f>
        <v>2.2475506905634522E-6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8.0171594631730861E-3</v>
      </c>
      <c r="C6" s="7">
        <f>$B6 * IFERROR(VLOOKUP("buildings|NOx|Asthma symptoms cough", US_national_yearly!$D:$AM, 11, FALSE) / VLOOKUP("buildings|NOx|Asthma symptoms cough", US_national_yearly!$D:$AM, 10, FALSE), 1)</f>
        <v>8.1268764741526129E-3</v>
      </c>
      <c r="D6" s="7">
        <f>$B6 * IFERROR(VLOOKUP("buildings|NOx|Asthma symptoms cough", US_national_yearly!$D:$AM, 12, FALSE) / VLOOKUP("buildings|NOx|Asthma symptoms cough", US_national_yearly!$D:$AM, 10, FALSE), 1)</f>
        <v>8.2365934851321432E-3</v>
      </c>
      <c r="E6" s="7">
        <f>$B6 * IFERROR(VLOOKUP("buildings|NOx|Asthma symptoms cough", US_national_yearly!$D:$AM, 13, FALSE) / VLOOKUP("buildings|NOx|Asthma symptoms cough", US_national_yearly!$D:$AM, 10, FALSE), 1)</f>
        <v>8.34631049611167E-3</v>
      </c>
      <c r="F6" s="7">
        <f>$B6 * IFERROR(VLOOKUP("buildings|NOx|Asthma symptoms cough", US_national_yearly!$D:$AM, 14, FALSE) / VLOOKUP("buildings|NOx|Asthma symptoms cough", US_national_yearly!$D:$AM, 10, FALSE), 1)</f>
        <v>8.4560275070911968E-3</v>
      </c>
      <c r="G6" s="7">
        <f>$B6 * IFERROR(VLOOKUP("buildings|NOx|Asthma symptoms cough", US_national_yearly!$D:$AM, 15, FALSE) / VLOOKUP("buildings|NOx|Asthma symptoms cough", US_national_yearly!$D:$AM, 10, FALSE), 1)</f>
        <v>8.5437119575950838E-3</v>
      </c>
      <c r="H6" s="7">
        <f>$B6 * IFERROR(VLOOKUP("buildings|NOx|Asthma symptoms cough", US_national_yearly!$D:$AM, 16, FALSE) / VLOOKUP("buildings|NOx|Asthma symptoms cough", US_national_yearly!$D:$AM, 10, FALSE), 1)</f>
        <v>8.6313964080989725E-3</v>
      </c>
      <c r="I6" s="7">
        <f>$B6 * IFERROR(VLOOKUP("buildings|NOx|Asthma symptoms cough", US_national_yearly!$D:$AM, 17, FALSE) / VLOOKUP("buildings|NOx|Asthma symptoms cough", US_national_yearly!$D:$AM, 10, FALSE), 1)</f>
        <v>8.6617414066707098E-3</v>
      </c>
      <c r="J6" s="7">
        <f>$B6 * IFERROR(VLOOKUP("buildings|NOx|Asthma symptoms cough", US_national_yearly!$D:$AM, 18, FALSE) / VLOOKUP("buildings|NOx|Asthma symptoms cough", US_national_yearly!$D:$AM, 10, FALSE), 1)</f>
        <v>8.6920864052424489E-3</v>
      </c>
      <c r="K6" s="7">
        <f>$B6 * IFERROR(VLOOKUP("buildings|NOx|Asthma symptoms cough", US_national_yearly!$D:$AM, 19, FALSE) / VLOOKUP("buildings|NOx|Asthma symptoms cough", US_national_yearly!$D:$AM, 10, FALSE), 1)</f>
        <v>8.7224314038141862E-3</v>
      </c>
      <c r="L6" s="7">
        <f>$B6 * IFERROR(VLOOKUP("buildings|NOx|Asthma symptoms cough", US_national_yearly!$D:$AM, 20, FALSE) / VLOOKUP("buildings|NOx|Asthma symptoms cough", US_national_yearly!$D:$AM, 10, FALSE), 1)</f>
        <v>8.7527764023859252E-3</v>
      </c>
      <c r="M6" s="7">
        <f>$B6 * IFERROR(VLOOKUP("buildings|NOx|Asthma symptoms cough", US_national_yearly!$D:$AM, 21, FALSE) / VLOOKUP("buildings|NOx|Asthma symptoms cough", US_national_yearly!$D:$AM, 10, FALSE), 1)</f>
        <v>8.7831214009576608E-3</v>
      </c>
      <c r="N6" s="7">
        <f>$B6 * IFERROR(VLOOKUP("buildings|NOx|Asthma symptoms cough", US_national_yearly!$D:$AM, 22, FALSE) / VLOOKUP("buildings|NOx|Asthma symptoms cough", US_national_yearly!$D:$AM, 10, FALSE), 1)</f>
        <v>8.8182096963099251E-3</v>
      </c>
      <c r="O6" s="7">
        <f>$B6 * IFERROR(VLOOKUP("buildings|NOx|Asthma symptoms cough", US_national_yearly!$D:$AM, 23, FALSE) / VLOOKUP("buildings|NOx|Asthma symptoms cough", US_national_yearly!$D:$AM, 10, FALSE), 1)</f>
        <v>8.853297991662186E-3</v>
      </c>
      <c r="P6" s="7">
        <f>$B6 * IFERROR(VLOOKUP("buildings|NOx|Asthma symptoms cough", US_national_yearly!$D:$AM, 24, FALSE) / VLOOKUP("buildings|NOx|Asthma symptoms cough", US_national_yearly!$D:$AM, 10, FALSE), 1)</f>
        <v>8.8883862870144485E-3</v>
      </c>
      <c r="Q6" s="7">
        <f>$B6 * IFERROR(VLOOKUP("buildings|NOx|Asthma symptoms cough", US_national_yearly!$D:$AM, 25, FALSE) / VLOOKUP("buildings|NOx|Asthma symptoms cough", US_national_yearly!$D:$AM, 10, FALSE), 1)</f>
        <v>8.9234745823667111E-3</v>
      </c>
      <c r="R6" s="7">
        <f>$B6 * IFERROR(VLOOKUP("buildings|NOx|Asthma symptoms cough", US_national_yearly!$D:$AM, 26, FALSE) / VLOOKUP("buildings|NOx|Asthma symptoms cough", US_national_yearly!$D:$AM, 10, FALSE), 1)</f>
        <v>8.9585628777189737E-3</v>
      </c>
      <c r="S6" s="7">
        <f>$B6 * IFERROR(VLOOKUP("buildings|NOx|Asthma symptoms cough", US_national_yearly!$D:$AM, 27, FALSE) / VLOOKUP("buildings|NOx|Asthma symptoms cough", US_national_yearly!$D:$AM, 10, FALSE), 1)</f>
        <v>9.0043889350660371E-3</v>
      </c>
      <c r="T6" s="7">
        <f>$B6 * IFERROR(VLOOKUP("buildings|NOx|Asthma symptoms cough", US_national_yearly!$D:$AM, 28, FALSE) / VLOOKUP("buildings|NOx|Asthma symptoms cough", US_national_yearly!$D:$AM, 10, FALSE), 1)</f>
        <v>9.0502149924131005E-3</v>
      </c>
      <c r="U6" s="7">
        <f>$B6 * IFERROR(VLOOKUP("buildings|NOx|Asthma symptoms cough", US_national_yearly!$D:$AM, 29, FALSE) / VLOOKUP("buildings|NOx|Asthma symptoms cough", US_national_yearly!$D:$AM, 10, FALSE), 1)</f>
        <v>9.0960410497601622E-3</v>
      </c>
      <c r="V6" s="7">
        <f>$B6 * IFERROR(VLOOKUP("buildings|NOx|Asthma symptoms cough", US_national_yearly!$D:$AM, 30, FALSE) / VLOOKUP("buildings|NOx|Asthma symptoms cough", US_national_yearly!$D:$AM, 10, FALSE), 1)</f>
        <v>9.141867107107229E-3</v>
      </c>
      <c r="W6" s="7">
        <f>$B6 * IFERROR(VLOOKUP("buildings|NOx|Asthma symptoms cough", US_national_yearly!$D:$AM, 31, FALSE) / VLOOKUP("buildings|NOx|Asthma symptoms cough", US_national_yearly!$D:$AM, 10, FALSE), 1)</f>
        <v>9.1876931644542924E-3</v>
      </c>
      <c r="X6" s="7">
        <f>$B6 * IFERROR(VLOOKUP("buildings|NOx|Asthma symptoms cough", US_national_yearly!$D:$AM, 32, FALSE) / VLOOKUP("buildings|NOx|Asthma symptoms cough", US_national_yearly!$D:$AM, 10, FALSE), 1)</f>
        <v>9.2302718775172966E-3</v>
      </c>
      <c r="Y6" s="7">
        <f>$B6 * IFERROR(VLOOKUP("buildings|NOx|Asthma symptoms cough", US_national_yearly!$D:$AM, 33, FALSE) / VLOOKUP("buildings|NOx|Asthma symptoms cough", US_national_yearly!$D:$AM, 10, FALSE), 1)</f>
        <v>9.2728505905803026E-3</v>
      </c>
      <c r="Z6" s="7">
        <f>$B6 * IFERROR(VLOOKUP("buildings|NOx|Asthma symptoms cough", US_national_yearly!$D:$AM, 34, FALSE) / VLOOKUP("buildings|NOx|Asthma symptoms cough", US_national_yearly!$D:$AM, 10, FALSE), 1)</f>
        <v>9.3154293036433085E-3</v>
      </c>
      <c r="AA6" s="7">
        <f>$B6 * IFERROR(VLOOKUP("buildings|NOx|Asthma symptoms cough", US_national_yearly!$D:$AM, 35, FALSE) / VLOOKUP("buildings|NOx|Asthma symptoms cough", US_national_yearly!$D:$AM, 10, FALSE), 1)</f>
        <v>9.3580080167063144E-3</v>
      </c>
      <c r="AB6" s="7">
        <f>$B6 * IFERROR(VLOOKUP("buildings|NOx|Asthma symptoms cough", US_national_yearly!$D:$AM, 36, FALSE) / VLOOKUP("buildings|NOx|Asthma symptoms cough", US_national_yearly!$D:$AM, 10, FALSE), 1)</f>
        <v>9.4005867297693203E-3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1.079622361714184E-2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1.0943972877741666E-2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1.1091722138341489E-2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1.1239471398941315E-2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1.138722065954114E-2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1.1505300003728135E-2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1.162337934791513E-2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1.1664243121078806E-2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1.170510689424248E-2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1.174597066740616E-2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1.1786834440569837E-2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1.1827698213733513E-2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1.1874949497783947E-2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1.1922200781834379E-2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1.1969452065884813E-2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1.2016703349935248E-2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1.206395463398568E-2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1.2125665812652581E-2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1.2187376991319481E-2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1.2249088169986381E-2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1.2310799348653279E-2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1.2372510527320179E-2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1.242984870388862E-2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1.2487186880457059E-2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1.2544525057025501E-2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1.2601863233593937E-2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1.265920141016238E-2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1.6494960225482205E-2</v>
      </c>
      <c r="C8" s="7">
        <f>$B8 * IFERROR(VLOOKUP("buildings|NOx|Asthma symptoms wheeze", US_national_yearly!$D:$AM, 11, FALSE) / VLOOKUP("buildings|NOx|Asthma symptoms wheeze", US_national_yearly!$D:$AM, 10, FALSE), 1)</f>
        <v>1.6720698249179291E-2</v>
      </c>
      <c r="D8" s="7">
        <f>$B8 * IFERROR(VLOOKUP("buildings|NOx|Asthma symptoms wheeze", US_national_yearly!$D:$AM, 12, FALSE) / VLOOKUP("buildings|NOx|Asthma symptoms wheeze", US_national_yearly!$D:$AM, 10, FALSE), 1)</f>
        <v>1.6946436272876376E-2</v>
      </c>
      <c r="E8" s="7">
        <f>$B8 * IFERROR(VLOOKUP("buildings|NOx|Asthma symptoms wheeze", US_national_yearly!$D:$AM, 13, FALSE) / VLOOKUP("buildings|NOx|Asthma symptoms wheeze", US_national_yearly!$D:$AM, 10, FALSE), 1)</f>
        <v>1.7172174296573459E-2</v>
      </c>
      <c r="F8" s="7">
        <f>$B8 * IFERROR(VLOOKUP("buildings|NOx|Asthma symptoms wheeze", US_national_yearly!$D:$AM, 14, FALSE) / VLOOKUP("buildings|NOx|Asthma symptoms wheeze", US_national_yearly!$D:$AM, 10, FALSE), 1)</f>
        <v>1.7397912320270548E-2</v>
      </c>
      <c r="G8" s="7">
        <f>$B8 * IFERROR(VLOOKUP("buildings|NOx|Asthma symptoms wheeze", US_national_yearly!$D:$AM, 15, FALSE) / VLOOKUP("buildings|NOx|Asthma symptoms wheeze", US_national_yearly!$D:$AM, 10, FALSE), 1)</f>
        <v>1.7578319299911976E-2</v>
      </c>
      <c r="H8" s="7">
        <f>$B8 * IFERROR(VLOOKUP("buildings|NOx|Asthma symptoms wheeze", US_national_yearly!$D:$AM, 16, FALSE) / VLOOKUP("buildings|NOx|Asthma symptoms wheeze", US_national_yearly!$D:$AM, 10, FALSE), 1)</f>
        <v>1.77587262795534E-2</v>
      </c>
      <c r="I8" s="7">
        <f>$B8 * IFERROR(VLOOKUP("buildings|NOx|Asthma symptoms wheeze", US_national_yearly!$D:$AM, 17, FALSE) / VLOOKUP("buildings|NOx|Asthma symptoms wheeze", US_national_yearly!$D:$AM, 10, FALSE), 1)</f>
        <v>1.7821159806922681E-2</v>
      </c>
      <c r="J8" s="7">
        <f>$B8 * IFERROR(VLOOKUP("buildings|NOx|Asthma symptoms wheeze", US_national_yearly!$D:$AM, 18, FALSE) / VLOOKUP("buildings|NOx|Asthma symptoms wheeze", US_national_yearly!$D:$AM, 10, FALSE), 1)</f>
        <v>1.7883593334291958E-2</v>
      </c>
      <c r="K8" s="7">
        <f>$B8 * IFERROR(VLOOKUP("buildings|NOx|Asthma symptoms wheeze", US_national_yearly!$D:$AM, 19, FALSE) / VLOOKUP("buildings|NOx|Asthma symptoms wheeze", US_national_yearly!$D:$AM, 10, FALSE), 1)</f>
        <v>1.7946026861661239E-2</v>
      </c>
      <c r="L8" s="7">
        <f>$B8 * IFERROR(VLOOKUP("buildings|NOx|Asthma symptoms wheeze", US_national_yearly!$D:$AM, 20, FALSE) / VLOOKUP("buildings|NOx|Asthma symptoms wheeze", US_national_yearly!$D:$AM, 10, FALSE), 1)</f>
        <v>1.8008460389030517E-2</v>
      </c>
      <c r="M8" s="7">
        <f>$B8 * IFERROR(VLOOKUP("buildings|NOx|Asthma symptoms wheeze", US_national_yearly!$D:$AM, 21, FALSE) / VLOOKUP("buildings|NOx|Asthma symptoms wheeze", US_national_yearly!$D:$AM, 10, FALSE), 1)</f>
        <v>1.8070893916399797E-2</v>
      </c>
      <c r="N8" s="7">
        <f>$B8 * IFERROR(VLOOKUP("buildings|NOx|Asthma symptoms wheeze", US_national_yearly!$D:$AM, 22, FALSE) / VLOOKUP("buildings|NOx|Asthma symptoms wheeze", US_national_yearly!$D:$AM, 10, FALSE), 1)</f>
        <v>1.8143086572567465E-2</v>
      </c>
      <c r="O8" s="7">
        <f>$B8 * IFERROR(VLOOKUP("buildings|NOx|Asthma symptoms wheeze", US_national_yearly!$D:$AM, 23, FALSE) / VLOOKUP("buildings|NOx|Asthma symptoms wheeze", US_national_yearly!$D:$AM, 10, FALSE), 1)</f>
        <v>1.8215279228735136E-2</v>
      </c>
      <c r="P8" s="7">
        <f>$B8 * IFERROR(VLOOKUP("buildings|NOx|Asthma symptoms wheeze", US_national_yearly!$D:$AM, 24, FALSE) / VLOOKUP("buildings|NOx|Asthma symptoms wheeze", US_national_yearly!$D:$AM, 10, FALSE), 1)</f>
        <v>1.8287471884902807E-2</v>
      </c>
      <c r="Q8" s="7">
        <f>$B8 * IFERROR(VLOOKUP("buildings|NOx|Asthma symptoms wheeze", US_national_yearly!$D:$AM, 25, FALSE) / VLOOKUP("buildings|NOx|Asthma symptoms wheeze", US_national_yearly!$D:$AM, 10, FALSE), 1)</f>
        <v>1.8359664541070478E-2</v>
      </c>
      <c r="R8" s="7">
        <f>$B8 * IFERROR(VLOOKUP("buildings|NOx|Asthma symptoms wheeze", US_national_yearly!$D:$AM, 26, FALSE) / VLOOKUP("buildings|NOx|Asthma symptoms wheeze", US_national_yearly!$D:$AM, 10, FALSE), 1)</f>
        <v>1.8431857197238145E-2</v>
      </c>
      <c r="S8" s="7">
        <f>$B8 * IFERROR(VLOOKUP("buildings|NOx|Asthma symptoms wheeze", US_national_yearly!$D:$AM, 27, FALSE) / VLOOKUP("buildings|NOx|Asthma symptoms wheeze", US_national_yearly!$D:$AM, 10, FALSE), 1)</f>
        <v>1.8526142336175347E-2</v>
      </c>
      <c r="T8" s="7">
        <f>$B8 * IFERROR(VLOOKUP("buildings|NOx|Asthma symptoms wheeze", US_national_yearly!$D:$AM, 28, FALSE) / VLOOKUP("buildings|NOx|Asthma symptoms wheeze", US_national_yearly!$D:$AM, 10, FALSE), 1)</f>
        <v>1.8620427475112552E-2</v>
      </c>
      <c r="U8" s="7">
        <f>$B8 * IFERROR(VLOOKUP("buildings|NOx|Asthma symptoms wheeze", US_national_yearly!$D:$AM, 29, FALSE) / VLOOKUP("buildings|NOx|Asthma symptoms wheeze", US_national_yearly!$D:$AM, 10, FALSE), 1)</f>
        <v>1.8714712614049753E-2</v>
      </c>
      <c r="V8" s="7">
        <f>$B8 * IFERROR(VLOOKUP("buildings|NOx|Asthma symptoms wheeze", US_national_yearly!$D:$AM, 30, FALSE) / VLOOKUP("buildings|NOx|Asthma symptoms wheeze", US_national_yearly!$D:$AM, 10, FALSE), 1)</f>
        <v>1.8808997752986955E-2</v>
      </c>
      <c r="W8" s="7">
        <f>$B8 * IFERROR(VLOOKUP("buildings|NOx|Asthma symptoms wheeze", US_national_yearly!$D:$AM, 31, FALSE) / VLOOKUP("buildings|NOx|Asthma symptoms wheeze", US_national_yearly!$D:$AM, 10, FALSE), 1)</f>
        <v>1.890328289192416E-2</v>
      </c>
      <c r="X8" s="7">
        <f>$B8 * IFERROR(VLOOKUP("buildings|NOx|Asthma symptoms wheeze", US_national_yearly!$D:$AM, 32, FALSE) / VLOOKUP("buildings|NOx|Asthma symptoms wheeze", US_national_yearly!$D:$AM, 10, FALSE), 1)</f>
        <v>1.8990886759887641E-2</v>
      </c>
      <c r="Y8" s="7">
        <f>$B8 * IFERROR(VLOOKUP("buildings|NOx|Asthma symptoms wheeze", US_national_yearly!$D:$AM, 33, FALSE) / VLOOKUP("buildings|NOx|Asthma symptoms wheeze", US_national_yearly!$D:$AM, 10, FALSE), 1)</f>
        <v>1.9078490627851125E-2</v>
      </c>
      <c r="Z8" s="7">
        <f>$B8 * IFERROR(VLOOKUP("buildings|NOx|Asthma symptoms wheeze", US_national_yearly!$D:$AM, 34, FALSE) / VLOOKUP("buildings|NOx|Asthma symptoms wheeze", US_national_yearly!$D:$AM, 10, FALSE), 1)</f>
        <v>1.9166094495814613E-2</v>
      </c>
      <c r="AA8" s="7">
        <f>$B8 * IFERROR(VLOOKUP("buildings|NOx|Asthma symptoms wheeze", US_national_yearly!$D:$AM, 35, FALSE) / VLOOKUP("buildings|NOx|Asthma symptoms wheeze", US_national_yearly!$D:$AM, 10, FALSE), 1)</f>
        <v>1.9253698363778098E-2</v>
      </c>
      <c r="AB8" s="7">
        <f>$B8 * IFERROR(VLOOKUP("buildings|NOx|Asthma symptoms wheeze", US_national_yearly!$D:$AM, 36, FALSE) / VLOOKUP("buildings|NOx|Asthma symptoms wheeze", US_national_yearly!$D:$AM, 10, FALSE), 1)</f>
        <v>1.9341302231741585E-2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1.5441174874124126E-4</v>
      </c>
      <c r="C12" s="7">
        <f>$B12 * IFERROR(VLOOKUP("buildings|NOx|Respiratory hospital admissions", US_national_yearly!$D:$AM, 11, FALSE) / VLOOKUP("buildings|NOx|Respiratory hospital admissions", US_national_yearly!$D:$AM, 10, FALSE), 1)</f>
        <v>1.5826962599150044E-4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1.6212750324175965E-4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1.6598538049201884E-4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1.6984325774227805E-4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1.7353150578789314E-4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1.7721975383350817E-4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1.8035283365215523E-4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1.8348591347080225E-4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1.866189932894493E-4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1.8975207310809633E-4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1.9288515292674338E-4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1.9497959954665456E-4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1.9707404616656573E-4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1.9916849278647691E-4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2.0126293940638811E-4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2.0335738602629926E-4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2.0448036487638097E-4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2.0560334372646271E-4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2.0672632257654445E-4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2.0784930142662617E-4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2.0897228027670785E-4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2.0974101228687301E-4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2.1050974429703812E-4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2.1127847630720328E-4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2.1204720831736839E-4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2.1281594032753355E-4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9.627060227105353E-4</v>
      </c>
      <c r="C13" s="7">
        <f>$B13 * IFERROR(VLOOKUP("buildings|NOx|Non-fatal heart attacks", US_national_yearly!$D:$AM, 11, FALSE) / VLOOKUP("buildings|NOx|Non-fatal heart attacks", US_national_yearly!$D:$AM, 10, FALSE), 1)</f>
        <v>9.902470791945605E-4</v>
      </c>
      <c r="D13" s="7">
        <f>$B13 * IFERROR(VLOOKUP("buildings|NOx|Non-fatal heart attacks", US_national_yearly!$D:$AM, 12, FALSE) / VLOOKUP("buildings|NOx|Non-fatal heart attacks", US_national_yearly!$D:$AM, 10, FALSE), 1)</f>
        <v>1.0177881356785864E-3</v>
      </c>
      <c r="E13" s="7">
        <f>$B13 * IFERROR(VLOOKUP("buildings|NOx|Non-fatal heart attacks", US_national_yearly!$D:$AM, 13, FALSE) / VLOOKUP("buildings|NOx|Non-fatal heart attacks", US_national_yearly!$D:$AM, 10, FALSE), 1)</f>
        <v>1.0453291921626116E-3</v>
      </c>
      <c r="F13" s="7">
        <f>$B13 * IFERROR(VLOOKUP("buildings|NOx|Non-fatal heart attacks", US_national_yearly!$D:$AM, 14, FALSE) / VLOOKUP("buildings|NOx|Non-fatal heart attacks", US_national_yearly!$D:$AM, 10, FALSE), 1)</f>
        <v>1.072870248646637E-3</v>
      </c>
      <c r="G13" s="7">
        <f>$B13 * IFERROR(VLOOKUP("buildings|NOx|Non-fatal heart attacks", US_national_yearly!$D:$AM, 15, FALSE) / VLOOKUP("buildings|NOx|Non-fatal heart attacks", US_national_yearly!$D:$AM, 10, FALSE), 1)</f>
        <v>1.0986127815095783E-3</v>
      </c>
      <c r="H13" s="7">
        <f>$B13 * IFERROR(VLOOKUP("buildings|NOx|Non-fatal heart attacks", US_national_yearly!$D:$AM, 16, FALSE) / VLOOKUP("buildings|NOx|Non-fatal heart attacks", US_national_yearly!$D:$AM, 10, FALSE), 1)</f>
        <v>1.1243553143725198E-3</v>
      </c>
      <c r="I13" s="7">
        <f>$B13 * IFERROR(VLOOKUP("buildings|NOx|Non-fatal heart attacks", US_national_yearly!$D:$AM, 17, FALSE) / VLOOKUP("buildings|NOx|Non-fatal heart attacks", US_national_yearly!$D:$AM, 10, FALSE), 1)</f>
        <v>1.1446643223110046E-3</v>
      </c>
      <c r="J13" s="7">
        <f>$B13 * IFERROR(VLOOKUP("buildings|NOx|Non-fatal heart attacks", US_national_yearly!$D:$AM, 18, FALSE) / VLOOKUP("buildings|NOx|Non-fatal heart attacks", US_national_yearly!$D:$AM, 10, FALSE), 1)</f>
        <v>1.1649733302494894E-3</v>
      </c>
      <c r="K13" s="7">
        <f>$B13 * IFERROR(VLOOKUP("buildings|NOx|Non-fatal heart attacks", US_national_yearly!$D:$AM, 19, FALSE) / VLOOKUP("buildings|NOx|Non-fatal heart attacks", US_national_yearly!$D:$AM, 10, FALSE), 1)</f>
        <v>1.1852823381879745E-3</v>
      </c>
      <c r="L13" s="7">
        <f>$B13 * IFERROR(VLOOKUP("buildings|NOx|Non-fatal heart attacks", US_national_yearly!$D:$AM, 20, FALSE) / VLOOKUP("buildings|NOx|Non-fatal heart attacks", US_national_yearly!$D:$AM, 10, FALSE), 1)</f>
        <v>1.2055913461264587E-3</v>
      </c>
      <c r="M13" s="7">
        <f>$B13 * IFERROR(VLOOKUP("buildings|NOx|Non-fatal heart attacks", US_national_yearly!$D:$AM, 21, FALSE) / VLOOKUP("buildings|NOx|Non-fatal heart attacks", US_national_yearly!$D:$AM, 10, FALSE), 1)</f>
        <v>1.2259003540649439E-3</v>
      </c>
      <c r="N13" s="7">
        <f>$B13 * IFERROR(VLOOKUP("buildings|NOx|Non-fatal heart attacks", US_national_yearly!$D:$AM, 22, FALSE) / VLOOKUP("buildings|NOx|Non-fatal heart attacks", US_national_yearly!$D:$AM, 10, FALSE), 1)</f>
        <v>1.2381229306901833E-3</v>
      </c>
      <c r="O13" s="7">
        <f>$B13 * IFERROR(VLOOKUP("buildings|NOx|Non-fatal heart attacks", US_national_yearly!$D:$AM, 23, FALSE) / VLOOKUP("buildings|NOx|Non-fatal heart attacks", US_national_yearly!$D:$AM, 10, FALSE), 1)</f>
        <v>1.2503455073154222E-3</v>
      </c>
      <c r="P13" s="7">
        <f>$B13 * IFERROR(VLOOKUP("buildings|NOx|Non-fatal heart attacks", US_national_yearly!$D:$AM, 24, FALSE) / VLOOKUP("buildings|NOx|Non-fatal heart attacks", US_national_yearly!$D:$AM, 10, FALSE), 1)</f>
        <v>1.2625680839406616E-3</v>
      </c>
      <c r="Q13" s="7">
        <f>$B13 * IFERROR(VLOOKUP("buildings|NOx|Non-fatal heart attacks", US_national_yearly!$D:$AM, 25, FALSE) / VLOOKUP("buildings|NOx|Non-fatal heart attacks", US_national_yearly!$D:$AM, 10, FALSE), 1)</f>
        <v>1.2747906605659008E-3</v>
      </c>
      <c r="R13" s="7">
        <f>$B13 * IFERROR(VLOOKUP("buildings|NOx|Non-fatal heart attacks", US_national_yearly!$D:$AM, 26, FALSE) / VLOOKUP("buildings|NOx|Non-fatal heart attacks", US_national_yearly!$D:$AM, 10, FALSE), 1)</f>
        <v>1.2870132371911398E-3</v>
      </c>
      <c r="S13" s="7">
        <f>$B13 * IFERROR(VLOOKUP("buildings|NOx|Non-fatal heart attacks", US_national_yearly!$D:$AM, 27, FALSE) / VLOOKUP("buildings|NOx|Non-fatal heart attacks", US_national_yearly!$D:$AM, 10, FALSE), 1)</f>
        <v>1.2925676555032161E-3</v>
      </c>
      <c r="T13" s="7">
        <f>$B13 * IFERROR(VLOOKUP("buildings|NOx|Non-fatal heart attacks", US_national_yearly!$D:$AM, 28, FALSE) / VLOOKUP("buildings|NOx|Non-fatal heart attacks", US_national_yearly!$D:$AM, 10, FALSE), 1)</f>
        <v>1.2981220738152927E-3</v>
      </c>
      <c r="U13" s="7">
        <f>$B13 * IFERROR(VLOOKUP("buildings|NOx|Non-fatal heart attacks", US_national_yearly!$D:$AM, 29, FALSE) / VLOOKUP("buildings|NOx|Non-fatal heart attacks", US_national_yearly!$D:$AM, 10, FALSE), 1)</f>
        <v>1.3036764921273687E-3</v>
      </c>
      <c r="V13" s="7">
        <f>$B13 * IFERROR(VLOOKUP("buildings|NOx|Non-fatal heart attacks", US_national_yearly!$D:$AM, 30, FALSE) / VLOOKUP("buildings|NOx|Non-fatal heart attacks", US_national_yearly!$D:$AM, 10, FALSE), 1)</f>
        <v>1.309230910439445E-3</v>
      </c>
      <c r="W13" s="7">
        <f>$B13 * IFERROR(VLOOKUP("buildings|NOx|Non-fatal heart attacks", US_national_yearly!$D:$AM, 31, FALSE) / VLOOKUP("buildings|NOx|Non-fatal heart attacks", US_national_yearly!$D:$AM, 10, FALSE), 1)</f>
        <v>1.3147853287515214E-3</v>
      </c>
      <c r="X13" s="7">
        <f>$B13 * IFERROR(VLOOKUP("buildings|NOx|Non-fatal heart attacks", US_national_yearly!$D:$AM, 32, FALSE) / VLOOKUP("buildings|NOx|Non-fatal heart attacks", US_national_yearly!$D:$AM, 10, FALSE), 1)</f>
        <v>1.3185007822976928E-3</v>
      </c>
      <c r="Y13" s="7">
        <f>$B13 * IFERROR(VLOOKUP("buildings|NOx|Non-fatal heart attacks", US_national_yearly!$D:$AM, 33, FALSE) / VLOOKUP("buildings|NOx|Non-fatal heart attacks", US_national_yearly!$D:$AM, 10, FALSE), 1)</f>
        <v>1.3222162358438642E-3</v>
      </c>
      <c r="Z13" s="7">
        <f>$B13 * IFERROR(VLOOKUP("buildings|NOx|Non-fatal heart attacks", US_national_yearly!$D:$AM, 34, FALSE) / VLOOKUP("buildings|NOx|Non-fatal heart attacks", US_national_yearly!$D:$AM, 10, FALSE), 1)</f>
        <v>1.3259316893900355E-3</v>
      </c>
      <c r="AA13" s="7">
        <f>$B13 * IFERROR(VLOOKUP("buildings|NOx|Non-fatal heart attacks", US_national_yearly!$D:$AM, 35, FALSE) / VLOOKUP("buildings|NOx|Non-fatal heart attacks", US_national_yearly!$D:$AM, 10, FALSE), 1)</f>
        <v>1.3296471429362069E-3</v>
      </c>
      <c r="AB13" s="7">
        <f>$B13 * IFERROR(VLOOKUP("buildings|NOx|Non-fatal heart attacks", US_national_yearly!$D:$AM, 36, FALSE) / VLOOKUP("buildings|NOx|Non-fatal heart attacks", US_national_yearly!$D:$AM, 10, FALSE), 1)</f>
        <v>1.3333625964823783E-3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0.90976367079535425</v>
      </c>
      <c r="C14" s="7">
        <f>$B14 * IFERROR(VLOOKUP("buildings|NOx|Minor restricted activity days", US_national_yearly!$D:$AM, 11, FALSE) / VLOOKUP("buildings|NOx|Minor restricted activity days", US_national_yearly!$D:$AM, 10, FALSE), 1)</f>
        <v>0.91117540885977244</v>
      </c>
      <c r="D14" s="7">
        <f>$B14 * IFERROR(VLOOKUP("buildings|NOx|Minor restricted activity days", US_national_yearly!$D:$AM, 12, FALSE) / VLOOKUP("buildings|NOx|Minor restricted activity days", US_national_yearly!$D:$AM, 10, FALSE), 1)</f>
        <v>0.91258714692419052</v>
      </c>
      <c r="E14" s="7">
        <f>$B14 * IFERROR(VLOOKUP("buildings|NOx|Minor restricted activity days", US_national_yearly!$D:$AM, 13, FALSE) / VLOOKUP("buildings|NOx|Minor restricted activity days", US_national_yearly!$D:$AM, 10, FALSE), 1)</f>
        <v>0.91399888498860871</v>
      </c>
      <c r="F14" s="7">
        <f>$B14 * IFERROR(VLOOKUP("buildings|NOx|Minor restricted activity days", US_national_yearly!$D:$AM, 14, FALSE) / VLOOKUP("buildings|NOx|Minor restricted activity days", US_national_yearly!$D:$AM, 10, FALSE), 1)</f>
        <v>0.9154106230530269</v>
      </c>
      <c r="G14" s="7">
        <f>$B14 * IFERROR(VLOOKUP("buildings|NOx|Minor restricted activity days", US_national_yearly!$D:$AM, 15, FALSE) / VLOOKUP("buildings|NOx|Minor restricted activity days", US_national_yearly!$D:$AM, 10, FALSE), 1)</f>
        <v>0.91794681293556812</v>
      </c>
      <c r="H14" s="7">
        <f>$B14 * IFERROR(VLOOKUP("buildings|NOx|Minor restricted activity days", US_national_yearly!$D:$AM, 16, FALSE) / VLOOKUP("buildings|NOx|Minor restricted activity days", US_national_yearly!$D:$AM, 10, FALSE), 1)</f>
        <v>0.92048300281810946</v>
      </c>
      <c r="I14" s="7">
        <f>$B14 * IFERROR(VLOOKUP("buildings|NOx|Minor restricted activity days", US_national_yearly!$D:$AM, 17, FALSE) / VLOOKUP("buildings|NOx|Minor restricted activity days", US_national_yearly!$D:$AM, 10, FALSE), 1)</f>
        <v>0.92542784951043899</v>
      </c>
      <c r="J14" s="7">
        <f>$B14 * IFERROR(VLOOKUP("buildings|NOx|Minor restricted activity days", US_national_yearly!$D:$AM, 18, FALSE) / VLOOKUP("buildings|NOx|Minor restricted activity days", US_national_yearly!$D:$AM, 10, FALSE), 1)</f>
        <v>0.93037269620276841</v>
      </c>
      <c r="K14" s="7">
        <f>$B14 * IFERROR(VLOOKUP("buildings|NOx|Minor restricted activity days", US_national_yearly!$D:$AM, 19, FALSE) / VLOOKUP("buildings|NOx|Minor restricted activity days", US_national_yearly!$D:$AM, 10, FALSE), 1)</f>
        <v>0.93531754289509794</v>
      </c>
      <c r="L14" s="7">
        <f>$B14 * IFERROR(VLOOKUP("buildings|NOx|Minor restricted activity days", US_national_yearly!$D:$AM, 20, FALSE) / VLOOKUP("buildings|NOx|Minor restricted activity days", US_national_yearly!$D:$AM, 10, FALSE), 1)</f>
        <v>0.94026238958742747</v>
      </c>
      <c r="M14" s="7">
        <f>$B14 * IFERROR(VLOOKUP("buildings|NOx|Minor restricted activity days", US_national_yearly!$D:$AM, 21, FALSE) / VLOOKUP("buildings|NOx|Minor restricted activity days", US_national_yearly!$D:$AM, 10, FALSE), 1)</f>
        <v>0.94520723627975689</v>
      </c>
      <c r="N14" s="7">
        <f>$B14 * IFERROR(VLOOKUP("buildings|NOx|Minor restricted activity days", US_national_yearly!$D:$AM, 22, FALSE) / VLOOKUP("buildings|NOx|Minor restricted activity days", US_national_yearly!$D:$AM, 10, FALSE), 1)</f>
        <v>0.95228137492612575</v>
      </c>
      <c r="O14" s="7">
        <f>$B14 * IFERROR(VLOOKUP("buildings|NOx|Minor restricted activity days", US_national_yearly!$D:$AM, 23, FALSE) / VLOOKUP("buildings|NOx|Minor restricted activity days", US_national_yearly!$D:$AM, 10, FALSE), 1)</f>
        <v>0.95935551357249438</v>
      </c>
      <c r="P14" s="7">
        <f>$B14 * IFERROR(VLOOKUP("buildings|NOx|Minor restricted activity days", US_national_yearly!$D:$AM, 24, FALSE) / VLOOKUP("buildings|NOx|Minor restricted activity days", US_national_yearly!$D:$AM, 10, FALSE), 1)</f>
        <v>0.96642965221886312</v>
      </c>
      <c r="Q14" s="7">
        <f>$B14 * IFERROR(VLOOKUP("buildings|NOx|Minor restricted activity days", US_national_yearly!$D:$AM, 25, FALSE) / VLOOKUP("buildings|NOx|Minor restricted activity days", US_national_yearly!$D:$AM, 10, FALSE), 1)</f>
        <v>0.97350379086523176</v>
      </c>
      <c r="R14" s="7">
        <f>$B14 * IFERROR(VLOOKUP("buildings|NOx|Minor restricted activity days", US_national_yearly!$D:$AM, 26, FALSE) / VLOOKUP("buildings|NOx|Minor restricted activity days", US_national_yearly!$D:$AM, 10, FALSE), 1)</f>
        <v>0.98057792951160028</v>
      </c>
      <c r="S14" s="7">
        <f>$B14 * IFERROR(VLOOKUP("buildings|NOx|Minor restricted activity days", US_national_yearly!$D:$AM, 27, FALSE) / VLOOKUP("buildings|NOx|Minor restricted activity days", US_national_yearly!$D:$AM, 10, FALSE), 1)</f>
        <v>0.98765003170552501</v>
      </c>
      <c r="T14" s="7">
        <f>$B14 * IFERROR(VLOOKUP("buildings|NOx|Minor restricted activity days", US_national_yearly!$D:$AM, 28, FALSE) / VLOOKUP("buildings|NOx|Minor restricted activity days", US_national_yearly!$D:$AM, 10, FALSE), 1)</f>
        <v>0.99472213389944963</v>
      </c>
      <c r="U14" s="7">
        <f>$B14 * IFERROR(VLOOKUP("buildings|NOx|Minor restricted activity days", US_national_yearly!$D:$AM, 29, FALSE) / VLOOKUP("buildings|NOx|Minor restricted activity days", US_national_yearly!$D:$AM, 10, FALSE), 1)</f>
        <v>1.0017942360933745</v>
      </c>
      <c r="V14" s="7">
        <f>$B14 * IFERROR(VLOOKUP("buildings|NOx|Minor restricted activity days", US_national_yearly!$D:$AM, 30, FALSE) / VLOOKUP("buildings|NOx|Minor restricted activity days", US_national_yearly!$D:$AM, 10, FALSE), 1)</f>
        <v>1.0088663382872991</v>
      </c>
      <c r="W14" s="7">
        <f>$B14 * IFERROR(VLOOKUP("buildings|NOx|Minor restricted activity days", US_national_yearly!$D:$AM, 31, FALSE) / VLOOKUP("buildings|NOx|Minor restricted activity days", US_national_yearly!$D:$AM, 10, FALSE), 1)</f>
        <v>1.0159384404812237</v>
      </c>
      <c r="X14" s="7">
        <f>$B14 * IFERROR(VLOOKUP("buildings|NOx|Minor restricted activity days", US_national_yearly!$D:$AM, 32, FALSE) / VLOOKUP("buildings|NOx|Minor restricted activity days", US_national_yearly!$D:$AM, 10, FALSE), 1)</f>
        <v>1.0219196078065496</v>
      </c>
      <c r="Y14" s="7">
        <f>$B14 * IFERROR(VLOOKUP("buildings|NOx|Minor restricted activity days", US_national_yearly!$D:$AM, 33, FALSE) / VLOOKUP("buildings|NOx|Minor restricted activity days", US_national_yearly!$D:$AM, 10, FALSE), 1)</f>
        <v>1.0279007751318758</v>
      </c>
      <c r="Z14" s="7">
        <f>$B14 * IFERROR(VLOOKUP("buildings|NOx|Minor restricted activity days", US_national_yearly!$D:$AM, 34, FALSE) / VLOOKUP("buildings|NOx|Minor restricted activity days", US_national_yearly!$D:$AM, 10, FALSE), 1)</f>
        <v>1.0338819424572014</v>
      </c>
      <c r="AA14" s="7">
        <f>$B14 * IFERROR(VLOOKUP("buildings|NOx|Minor restricted activity days", US_national_yearly!$D:$AM, 35, FALSE) / VLOOKUP("buildings|NOx|Minor restricted activity days", US_national_yearly!$D:$AM, 10, FALSE), 1)</f>
        <v>1.0398631097825275</v>
      </c>
      <c r="AB14" s="7">
        <f>$B14 * IFERROR(VLOOKUP("buildings|NOx|Minor restricted activity days", US_national_yearly!$D:$AM, 36, FALSE) / VLOOKUP("buildings|NOx|Minor restricted activity days", US_national_yearly!$D:$AM, 10, FALSE), 1)</f>
        <v>1.0458442771078533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0.15521189934093163</v>
      </c>
      <c r="C15" s="7">
        <f>$B15 * IFERROR(VLOOKUP("buildings|NOx|Work loss days", US_national_yearly!$D:$AM, 11, FALSE) / VLOOKUP("buildings|NOx|Work loss days", US_national_yearly!$D:$AM, 10, FALSE), 1)</f>
        <v>0.15555984329763534</v>
      </c>
      <c r="D15" s="7">
        <f>$B15 * IFERROR(VLOOKUP("buildings|NOx|Work loss days", US_national_yearly!$D:$AM, 12, FALSE) / VLOOKUP("buildings|NOx|Work loss days", US_national_yearly!$D:$AM, 10, FALSE), 1)</f>
        <v>0.15590778725433899</v>
      </c>
      <c r="E15" s="7">
        <f>$B15 * IFERROR(VLOOKUP("buildings|NOx|Work loss days", US_national_yearly!$D:$AM, 13, FALSE) / VLOOKUP("buildings|NOx|Work loss days", US_national_yearly!$D:$AM, 10, FALSE), 1)</f>
        <v>0.15625573121104264</v>
      </c>
      <c r="F15" s="7">
        <f>$B15 * IFERROR(VLOOKUP("buildings|NOx|Work loss days", US_national_yearly!$D:$AM, 14, FALSE) / VLOOKUP("buildings|NOx|Work loss days", US_national_yearly!$D:$AM, 10, FALSE), 1)</f>
        <v>0.15660367516774634</v>
      </c>
      <c r="G15" s="7">
        <f>$B15 * IFERROR(VLOOKUP("buildings|NOx|Work loss days", US_national_yearly!$D:$AM, 15, FALSE) / VLOOKUP("buildings|NOx|Work loss days", US_national_yearly!$D:$AM, 10, FALSE), 1)</f>
        <v>0.15711049455045253</v>
      </c>
      <c r="H15" s="7">
        <f>$B15 * IFERROR(VLOOKUP("buildings|NOx|Work loss days", US_national_yearly!$D:$AM, 16, FALSE) / VLOOKUP("buildings|NOx|Work loss days", US_national_yearly!$D:$AM, 10, FALSE), 1)</f>
        <v>0.15761731393315873</v>
      </c>
      <c r="I15" s="7">
        <f>$B15 * IFERROR(VLOOKUP("buildings|NOx|Work loss days", US_national_yearly!$D:$AM, 17, FALSE) / VLOOKUP("buildings|NOx|Work loss days", US_national_yearly!$D:$AM, 10, FALSE), 1)</f>
        <v>0.15843699363947569</v>
      </c>
      <c r="J15" s="7">
        <f>$B15 * IFERROR(VLOOKUP("buildings|NOx|Work loss days", US_national_yearly!$D:$AM, 18, FALSE) / VLOOKUP("buildings|NOx|Work loss days", US_national_yearly!$D:$AM, 10, FALSE), 1)</f>
        <v>0.15925667334579258</v>
      </c>
      <c r="K15" s="7">
        <f>$B15 * IFERROR(VLOOKUP("buildings|NOx|Work loss days", US_national_yearly!$D:$AM, 19, FALSE) / VLOOKUP("buildings|NOx|Work loss days", US_national_yearly!$D:$AM, 10, FALSE), 1)</f>
        <v>0.16007635305210954</v>
      </c>
      <c r="L15" s="7">
        <f>$B15 * IFERROR(VLOOKUP("buildings|NOx|Work loss days", US_national_yearly!$D:$AM, 20, FALSE) / VLOOKUP("buildings|NOx|Work loss days", US_national_yearly!$D:$AM, 10, FALSE), 1)</f>
        <v>0.16089603275842648</v>
      </c>
      <c r="M15" s="7">
        <f>$B15 * IFERROR(VLOOKUP("buildings|NOx|Work loss days", US_national_yearly!$D:$AM, 21, FALSE) / VLOOKUP("buildings|NOx|Work loss days", US_national_yearly!$D:$AM, 10, FALSE), 1)</f>
        <v>0.16171571246474337</v>
      </c>
      <c r="N15" s="7">
        <f>$B15 * IFERROR(VLOOKUP("buildings|NOx|Work loss days", US_national_yearly!$D:$AM, 22, FALSE) / VLOOKUP("buildings|NOx|Work loss days", US_national_yearly!$D:$AM, 10, FALSE), 1)</f>
        <v>0.16278211711471013</v>
      </c>
      <c r="O15" s="7">
        <f>$B15 * IFERROR(VLOOKUP("buildings|NOx|Work loss days", US_national_yearly!$D:$AM, 23, FALSE) / VLOOKUP("buildings|NOx|Work loss days", US_national_yearly!$D:$AM, 10, FALSE), 1)</f>
        <v>0.1638485217646769</v>
      </c>
      <c r="P15" s="7">
        <f>$B15 * IFERROR(VLOOKUP("buildings|NOx|Work loss days", US_national_yearly!$D:$AM, 24, FALSE) / VLOOKUP("buildings|NOx|Work loss days", US_national_yearly!$D:$AM, 10, FALSE), 1)</f>
        <v>0.16491492641464367</v>
      </c>
      <c r="Q15" s="7">
        <f>$B15 * IFERROR(VLOOKUP("buildings|NOx|Work loss days", US_national_yearly!$D:$AM, 25, FALSE) / VLOOKUP("buildings|NOx|Work loss days", US_national_yearly!$D:$AM, 10, FALSE), 1)</f>
        <v>0.16598133106461044</v>
      </c>
      <c r="R15" s="7">
        <f>$B15 * IFERROR(VLOOKUP("buildings|NOx|Work loss days", US_national_yearly!$D:$AM, 26, FALSE) / VLOOKUP("buildings|NOx|Work loss days", US_national_yearly!$D:$AM, 10, FALSE), 1)</f>
        <v>0.16704773571457721</v>
      </c>
      <c r="S15" s="7">
        <f>$B15 * IFERROR(VLOOKUP("buildings|NOx|Work loss days", US_national_yearly!$D:$AM, 27, FALSE) / VLOOKUP("buildings|NOx|Work loss days", US_national_yearly!$D:$AM, 10, FALSE), 1)</f>
        <v>0.16823605681096362</v>
      </c>
      <c r="T15" s="7">
        <f>$B15 * IFERROR(VLOOKUP("buildings|NOx|Work loss days", US_national_yearly!$D:$AM, 28, FALSE) / VLOOKUP("buildings|NOx|Work loss days", US_national_yearly!$D:$AM, 10, FALSE), 1)</f>
        <v>0.16942437790735004</v>
      </c>
      <c r="U15" s="7">
        <f>$B15 * IFERROR(VLOOKUP("buildings|NOx|Work loss days", US_national_yearly!$D:$AM, 29, FALSE) / VLOOKUP("buildings|NOx|Work loss days", US_national_yearly!$D:$AM, 10, FALSE), 1)</f>
        <v>0.17061269900373646</v>
      </c>
      <c r="V15" s="7">
        <f>$B15 * IFERROR(VLOOKUP("buildings|NOx|Work loss days", US_national_yearly!$D:$AM, 30, FALSE) / VLOOKUP("buildings|NOx|Work loss days", US_national_yearly!$D:$AM, 10, FALSE), 1)</f>
        <v>0.17180102010012285</v>
      </c>
      <c r="W15" s="7">
        <f>$B15 * IFERROR(VLOOKUP("buildings|NOx|Work loss days", US_national_yearly!$D:$AM, 31, FALSE) / VLOOKUP("buildings|NOx|Work loss days", US_national_yearly!$D:$AM, 10, FALSE), 1)</f>
        <v>0.17298934119650927</v>
      </c>
      <c r="X15" s="7">
        <f>$B15 * IFERROR(VLOOKUP("buildings|NOx|Work loss days", US_national_yearly!$D:$AM, 32, FALSE) / VLOOKUP("buildings|NOx|Work loss days", US_national_yearly!$D:$AM, 10, FALSE), 1)</f>
        <v>0.17402105219268835</v>
      </c>
      <c r="Y15" s="7">
        <f>$B15 * IFERROR(VLOOKUP("buildings|NOx|Work loss days", US_national_yearly!$D:$AM, 33, FALSE) / VLOOKUP("buildings|NOx|Work loss days", US_national_yearly!$D:$AM, 10, FALSE), 1)</f>
        <v>0.17505276318886745</v>
      </c>
      <c r="Z15" s="7">
        <f>$B15 * IFERROR(VLOOKUP("buildings|NOx|Work loss days", US_national_yearly!$D:$AM, 34, FALSE) / VLOOKUP("buildings|NOx|Work loss days", US_national_yearly!$D:$AM, 10, FALSE), 1)</f>
        <v>0.17608447418504652</v>
      </c>
      <c r="AA15" s="7">
        <f>$B15 * IFERROR(VLOOKUP("buildings|NOx|Work loss days", US_national_yearly!$D:$AM, 35, FALSE) / VLOOKUP("buildings|NOx|Work loss days", US_national_yearly!$D:$AM, 10, FALSE), 1)</f>
        <v>0.17711618518122563</v>
      </c>
      <c r="AB15" s="7">
        <f>$B15 * IFERROR(VLOOKUP("buildings|NOx|Work loss days", US_national_yearly!$D:$AM, 36, FALSE) / VLOOKUP("buildings|NOx|Work loss days", US_national_yearly!$D:$AM, 10, FALSE), 1)</f>
        <v>0.1781478961774047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2.3722687224527221E-4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2.4420136336907473E-4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2.511758544928773E-4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2.5815034561667987E-4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2.6512483674048239E-4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2.7175047645884348E-4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2.7837611617720462E-4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2.8395093784960911E-4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2.8952575952201348E-4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2.9510058119441791E-4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3.0067540286682234E-4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3.0625022453922672E-4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3.0973746592704421E-4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3.1322470731486154E-4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3.1671194870267898E-4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3.2019919009049636E-4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3.2368643147831369E-4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3.252798512907344E-4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3.2687327110315499E-4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3.2846669091557564E-4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3.3006011072799624E-4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3.3165353054041689E-4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3.3254168665536874E-4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3.3342984277032065E-4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3.3431799888527256E-4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3.3520615500022446E-4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3.3609431111517632E-4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5.1849083794995709E-3</v>
      </c>
      <c r="C2" s="7">
        <f>$B2 * IFERROR(VLOOKUP("buildings|SO2|Premature mortality", US_national_yearly!$D:$AM, 11, FALSE) / VLOOKUP("buildings|SO2|Premature mortality", US_national_yearly!$D:$AM, 10, FALSE), 1)</f>
        <v>5.2505929341755322E-3</v>
      </c>
      <c r="D2" s="7">
        <f>$B2 * IFERROR(VLOOKUP("buildings|SO2|Premature mortality", US_national_yearly!$D:$AM, 12, FALSE) / VLOOKUP("buildings|SO2|Premature mortality", US_national_yearly!$D:$AM, 10, FALSE), 1)</f>
        <v>5.3162774888514917E-3</v>
      </c>
      <c r="E2" s="7">
        <f>$B2 * IFERROR(VLOOKUP("buildings|SO2|Premature mortality", US_national_yearly!$D:$AM, 13, FALSE) / VLOOKUP("buildings|SO2|Premature mortality", US_national_yearly!$D:$AM, 10, FALSE), 1)</f>
        <v>5.381962043527453E-3</v>
      </c>
      <c r="F2" s="7">
        <f>$B2 * IFERROR(VLOOKUP("buildings|SO2|Premature mortality", US_national_yearly!$D:$AM, 14, FALSE) / VLOOKUP("buildings|SO2|Premature mortality", US_national_yearly!$D:$AM, 10, FALSE), 1)</f>
        <v>5.4476465982034143E-3</v>
      </c>
      <c r="G2" s="7">
        <f>$B2 * IFERROR(VLOOKUP("buildings|SO2|Premature mortality", US_national_yearly!$D:$AM, 15, FALSE) / VLOOKUP("buildings|SO2|Premature mortality", US_national_yearly!$D:$AM, 10, FALSE), 1)</f>
        <v>5.5742074071980958E-3</v>
      </c>
      <c r="H2" s="7">
        <f>$B2 * IFERROR(VLOOKUP("buildings|SO2|Premature mortality", US_national_yearly!$D:$AM, 16, FALSE) / VLOOKUP("buildings|SO2|Premature mortality", US_national_yearly!$D:$AM, 10, FALSE), 1)</f>
        <v>5.7007682161927774E-3</v>
      </c>
      <c r="I2" s="7">
        <f>$B2 * IFERROR(VLOOKUP("buildings|SO2|Premature mortality", US_national_yearly!$D:$AM, 17, FALSE) / VLOOKUP("buildings|SO2|Premature mortality", US_national_yearly!$D:$AM, 10, FALSE), 1)</f>
        <v>5.7844494961559146E-3</v>
      </c>
      <c r="J2" s="7">
        <f>$B2 * IFERROR(VLOOKUP("buildings|SO2|Premature mortality", US_national_yearly!$D:$AM, 18, FALSE) / VLOOKUP("buildings|SO2|Premature mortality", US_national_yearly!$D:$AM, 10, FALSE), 1)</f>
        <v>5.8681307761190493E-3</v>
      </c>
      <c r="K2" s="7">
        <f>$B2 * IFERROR(VLOOKUP("buildings|SO2|Premature mortality", US_national_yearly!$D:$AM, 19, FALSE) / VLOOKUP("buildings|SO2|Premature mortality", US_national_yearly!$D:$AM, 10, FALSE), 1)</f>
        <v>5.9518120560821865E-3</v>
      </c>
      <c r="L2" s="7">
        <f>$B2 * IFERROR(VLOOKUP("buildings|SO2|Premature mortality", US_national_yearly!$D:$AM, 20, FALSE) / VLOOKUP("buildings|SO2|Premature mortality", US_national_yearly!$D:$AM, 10, FALSE), 1)</f>
        <v>6.0354933360453221E-3</v>
      </c>
      <c r="M2" s="7">
        <f>$B2 * IFERROR(VLOOKUP("buildings|SO2|Premature mortality", US_national_yearly!$D:$AM, 21, FALSE) / VLOOKUP("buildings|SO2|Premature mortality", US_national_yearly!$D:$AM, 10, FALSE), 1)</f>
        <v>6.1191746160084584E-3</v>
      </c>
      <c r="N2" s="7">
        <f>$B2 * IFERROR(VLOOKUP("buildings|SO2|Premature mortality", US_national_yearly!$D:$AM, 22, FALSE) / VLOOKUP("buildings|SO2|Premature mortality", US_national_yearly!$D:$AM, 10, FALSE), 1)</f>
        <v>6.1845434925501862E-3</v>
      </c>
      <c r="O2" s="7">
        <f>$B2 * IFERROR(VLOOKUP("buildings|SO2|Premature mortality", US_national_yearly!$D:$AM, 23, FALSE) / VLOOKUP("buildings|SO2|Premature mortality", US_national_yearly!$D:$AM, 10, FALSE), 1)</f>
        <v>6.2499123690919096E-3</v>
      </c>
      <c r="P2" s="7">
        <f>$B2 * IFERROR(VLOOKUP("buildings|SO2|Premature mortality", US_national_yearly!$D:$AM, 24, FALSE) / VLOOKUP("buildings|SO2|Premature mortality", US_national_yearly!$D:$AM, 10, FALSE), 1)</f>
        <v>6.3152812456336365E-3</v>
      </c>
      <c r="Q2" s="7">
        <f>$B2 * IFERROR(VLOOKUP("buildings|SO2|Premature mortality", US_national_yearly!$D:$AM, 25, FALSE) / VLOOKUP("buildings|SO2|Premature mortality", US_national_yearly!$D:$AM, 10, FALSE), 1)</f>
        <v>6.3806501221753608E-3</v>
      </c>
      <c r="R2" s="7">
        <f>$B2 * IFERROR(VLOOKUP("buildings|SO2|Premature mortality", US_national_yearly!$D:$AM, 26, FALSE) / VLOOKUP("buildings|SO2|Premature mortality", US_national_yearly!$D:$AM, 10, FALSE), 1)</f>
        <v>6.4460189987170877E-3</v>
      </c>
      <c r="S2" s="7">
        <f>$B2 * IFERROR(VLOOKUP("buildings|SO2|Premature mortality", US_national_yearly!$D:$AM, 27, FALSE) / VLOOKUP("buildings|SO2|Premature mortality", US_national_yearly!$D:$AM, 10, FALSE), 1)</f>
        <v>6.4810051676110212E-3</v>
      </c>
      <c r="T2" s="7">
        <f>$B2 * IFERROR(VLOOKUP("buildings|SO2|Premature mortality", US_national_yearly!$D:$AM, 28, FALSE) / VLOOKUP("buildings|SO2|Premature mortality", US_national_yearly!$D:$AM, 10, FALSE), 1)</f>
        <v>6.5159913365049555E-3</v>
      </c>
      <c r="U2" s="7">
        <f>$B2 * IFERROR(VLOOKUP("buildings|SO2|Premature mortality", US_national_yearly!$D:$AM, 29, FALSE) / VLOOKUP("buildings|SO2|Premature mortality", US_national_yearly!$D:$AM, 10, FALSE), 1)</f>
        <v>6.5509775053988889E-3</v>
      </c>
      <c r="V2" s="7">
        <f>$B2 * IFERROR(VLOOKUP("buildings|SO2|Premature mortality", US_national_yearly!$D:$AM, 30, FALSE) / VLOOKUP("buildings|SO2|Premature mortality", US_national_yearly!$D:$AM, 10, FALSE), 1)</f>
        <v>6.5859636742928241E-3</v>
      </c>
      <c r="W2" s="7">
        <f>$B2 * IFERROR(VLOOKUP("buildings|SO2|Premature mortality", US_national_yearly!$D:$AM, 31, FALSE) / VLOOKUP("buildings|SO2|Premature mortality", US_national_yearly!$D:$AM, 10, FALSE), 1)</f>
        <v>6.6209498431867575E-3</v>
      </c>
      <c r="X2" s="7">
        <f>$B2 * IFERROR(VLOOKUP("buildings|SO2|Premature mortality", US_national_yearly!$D:$AM, 32, FALSE) / VLOOKUP("buildings|SO2|Premature mortality", US_national_yearly!$D:$AM, 10, FALSE), 1)</f>
        <v>6.6280193218670657E-3</v>
      </c>
      <c r="Y2" s="7">
        <f>$B2 * IFERROR(VLOOKUP("buildings|SO2|Premature mortality", US_national_yearly!$D:$AM, 33, FALSE) / VLOOKUP("buildings|SO2|Premature mortality", US_national_yearly!$D:$AM, 10, FALSE), 1)</f>
        <v>6.6350888005473748E-3</v>
      </c>
      <c r="Z2" s="7">
        <f>$B2 * IFERROR(VLOOKUP("buildings|SO2|Premature mortality", US_national_yearly!$D:$AM, 34, FALSE) / VLOOKUP("buildings|SO2|Premature mortality", US_national_yearly!$D:$AM, 10, FALSE), 1)</f>
        <v>6.6421582792276813E-3</v>
      </c>
      <c r="AA2" s="7">
        <f>$B2 * IFERROR(VLOOKUP("buildings|SO2|Premature mortality", US_national_yearly!$D:$AM, 35, FALSE) / VLOOKUP("buildings|SO2|Premature mortality", US_national_yearly!$D:$AM, 10, FALSE), 1)</f>
        <v>6.6492277579079904E-3</v>
      </c>
      <c r="AB2" s="7">
        <f>$B2 * IFERROR(VLOOKUP("buildings|SO2|Premature mortality", US_national_yearly!$D:$AM, 36, FALSE) / VLOOKUP("buildings|SO2|Premature mortality", US_national_yearly!$D:$AM, 10, FALSE), 1)</f>
        <v>6.6562972365882987E-3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2.0609838466527822E-5</v>
      </c>
      <c r="C3" s="7">
        <f>$B3 * IFERROR(VLOOKUP("buildings|SO2|Infant mortality", US_national_yearly!$D:$AM, 11, FALSE) / VLOOKUP("buildings|SO2|Infant mortality", US_national_yearly!$D:$AM, 10, FALSE), 1)</f>
        <v>2.0433183148630246E-5</v>
      </c>
      <c r="D3" s="7">
        <f>$B3 * IFERROR(VLOOKUP("buildings|SO2|Infant mortality", US_national_yearly!$D:$AM, 12, FALSE) / VLOOKUP("buildings|SO2|Infant mortality", US_national_yearly!$D:$AM, 10, FALSE), 1)</f>
        <v>2.0256527830732668E-5</v>
      </c>
      <c r="E3" s="7">
        <f>$B3 * IFERROR(VLOOKUP("buildings|SO2|Infant mortality", US_national_yearly!$D:$AM, 13, FALSE) / VLOOKUP("buildings|SO2|Infant mortality", US_national_yearly!$D:$AM, 10, FALSE), 1)</f>
        <v>2.0079872512835092E-5</v>
      </c>
      <c r="F3" s="7">
        <f>$B3 * IFERROR(VLOOKUP("buildings|SO2|Infant mortality", US_national_yearly!$D:$AM, 14, FALSE) / VLOOKUP("buildings|SO2|Infant mortality", US_national_yearly!$D:$AM, 10, FALSE), 1)</f>
        <v>1.9903217194937517E-5</v>
      </c>
      <c r="G3" s="7">
        <f>$B3 * IFERROR(VLOOKUP("buildings|SO2|Infant mortality", US_national_yearly!$D:$AM, 15, FALSE) / VLOOKUP("buildings|SO2|Infant mortality", US_national_yearly!$D:$AM, 10, FALSE), 1)</f>
        <v>1.3254754151180217E-5</v>
      </c>
      <c r="H3" s="7">
        <f>$B3 * IFERROR(VLOOKUP("buildings|SO2|Infant mortality", US_national_yearly!$D:$AM, 16, FALSE) / VLOOKUP("buildings|SO2|Infant mortality", US_national_yearly!$D:$AM, 10, FALSE), 1)</f>
        <v>6.6062911074229166E-6</v>
      </c>
      <c r="I3" s="7">
        <f>$B3 * IFERROR(VLOOKUP("buildings|SO2|Infant mortality", US_national_yearly!$D:$AM, 17, FALSE) / VLOOKUP("buildings|SO2|Infant mortality", US_national_yearly!$D:$AM, 10, FALSE), 1)</f>
        <v>6.5648425074824517E-6</v>
      </c>
      <c r="J3" s="7">
        <f>$B3 * IFERROR(VLOOKUP("buildings|SO2|Infant mortality", US_national_yearly!$D:$AM, 18, FALSE) / VLOOKUP("buildings|SO2|Infant mortality", US_national_yearly!$D:$AM, 10, FALSE), 1)</f>
        <v>6.5233939075419852E-6</v>
      </c>
      <c r="K3" s="7">
        <f>$B3 * IFERROR(VLOOKUP("buildings|SO2|Infant mortality", US_national_yearly!$D:$AM, 19, FALSE) / VLOOKUP("buildings|SO2|Infant mortality", US_national_yearly!$D:$AM, 10, FALSE), 1)</f>
        <v>6.4819453076015203E-6</v>
      </c>
      <c r="L3" s="7">
        <f>$B3 * IFERROR(VLOOKUP("buildings|SO2|Infant mortality", US_national_yearly!$D:$AM, 20, FALSE) / VLOOKUP("buildings|SO2|Infant mortality", US_national_yearly!$D:$AM, 10, FALSE), 1)</f>
        <v>6.4404967076610546E-6</v>
      </c>
      <c r="M3" s="7">
        <f>$B3 * IFERROR(VLOOKUP("buildings|SO2|Infant mortality", US_national_yearly!$D:$AM, 21, FALSE) / VLOOKUP("buildings|SO2|Infant mortality", US_national_yearly!$D:$AM, 10, FALSE), 1)</f>
        <v>6.3990481077205889E-6</v>
      </c>
      <c r="N3" s="7">
        <f>$B3 * IFERROR(VLOOKUP("buildings|SO2|Infant mortality", US_national_yearly!$D:$AM, 22, FALSE) / VLOOKUP("buildings|SO2|Infant mortality", US_national_yearly!$D:$AM, 10, FALSE), 1)</f>
        <v>6.3730642387265723E-6</v>
      </c>
      <c r="O3" s="7">
        <f>$B3 * IFERROR(VLOOKUP("buildings|SO2|Infant mortality", US_national_yearly!$D:$AM, 23, FALSE) / VLOOKUP("buildings|SO2|Infant mortality", US_national_yearly!$D:$AM, 10, FALSE), 1)</f>
        <v>6.3470803697325556E-6</v>
      </c>
      <c r="P3" s="7">
        <f>$B3 * IFERROR(VLOOKUP("buildings|SO2|Infant mortality", US_national_yearly!$D:$AM, 24, FALSE) / VLOOKUP("buildings|SO2|Infant mortality", US_national_yearly!$D:$AM, 10, FALSE), 1)</f>
        <v>6.3210965007385381E-6</v>
      </c>
      <c r="Q3" s="7">
        <f>$B3 * IFERROR(VLOOKUP("buildings|SO2|Infant mortality", US_national_yearly!$D:$AM, 25, FALSE) / VLOOKUP("buildings|SO2|Infant mortality", US_national_yearly!$D:$AM, 10, FALSE), 1)</f>
        <v>6.2951126317445215E-6</v>
      </c>
      <c r="R3" s="7">
        <f>$B3 * IFERROR(VLOOKUP("buildings|SO2|Infant mortality", US_national_yearly!$D:$AM, 26, FALSE) / VLOOKUP("buildings|SO2|Infant mortality", US_national_yearly!$D:$AM, 10, FALSE), 1)</f>
        <v>6.2691287627505048E-6</v>
      </c>
      <c r="S3" s="7">
        <f>$B3 * IFERROR(VLOOKUP("buildings|SO2|Infant mortality", US_national_yearly!$D:$AM, 27, FALSE) / VLOOKUP("buildings|SO2|Infant mortality", US_national_yearly!$D:$AM, 10, FALSE), 1)</f>
        <v>6.2365012609859331E-6</v>
      </c>
      <c r="T3" s="7">
        <f>$B3 * IFERROR(VLOOKUP("buildings|SO2|Infant mortality", US_national_yearly!$D:$AM, 28, FALSE) / VLOOKUP("buildings|SO2|Infant mortality", US_national_yearly!$D:$AM, 10, FALSE), 1)</f>
        <v>6.2038737592213621E-6</v>
      </c>
      <c r="U3" s="7">
        <f>$B3 * IFERROR(VLOOKUP("buildings|SO2|Infant mortality", US_national_yearly!$D:$AM, 29, FALSE) / VLOOKUP("buildings|SO2|Infant mortality", US_national_yearly!$D:$AM, 10, FALSE), 1)</f>
        <v>6.1712462574567903E-6</v>
      </c>
      <c r="V3" s="7">
        <f>$B3 * IFERROR(VLOOKUP("buildings|SO2|Infant mortality", US_national_yearly!$D:$AM, 30, FALSE) / VLOOKUP("buildings|SO2|Infant mortality", US_national_yearly!$D:$AM, 10, FALSE), 1)</f>
        <v>6.1386187556922185E-6</v>
      </c>
      <c r="W3" s="7">
        <f>$B3 * IFERROR(VLOOKUP("buildings|SO2|Infant mortality", US_national_yearly!$D:$AM, 31, FALSE) / VLOOKUP("buildings|SO2|Infant mortality", US_national_yearly!$D:$AM, 10, FALSE), 1)</f>
        <v>6.1059912539276476E-6</v>
      </c>
      <c r="X3" s="7">
        <f>$B3 * IFERROR(VLOOKUP("buildings|SO2|Infant mortality", US_national_yearly!$D:$AM, 32, FALSE) / VLOOKUP("buildings|SO2|Infant mortality", US_national_yearly!$D:$AM, 10, FALSE), 1)</f>
        <v>6.0703568521215781E-6</v>
      </c>
      <c r="Y3" s="7">
        <f>$B3 * IFERROR(VLOOKUP("buildings|SO2|Infant mortality", US_national_yearly!$D:$AM, 33, FALSE) / VLOOKUP("buildings|SO2|Infant mortality", US_national_yearly!$D:$AM, 10, FALSE), 1)</f>
        <v>6.0347224503155078E-6</v>
      </c>
      <c r="Z3" s="7">
        <f>$B3 * IFERROR(VLOOKUP("buildings|SO2|Infant mortality", US_national_yearly!$D:$AM, 34, FALSE) / VLOOKUP("buildings|SO2|Infant mortality", US_national_yearly!$D:$AM, 10, FALSE), 1)</f>
        <v>5.9990880485094392E-6</v>
      </c>
      <c r="AA3" s="7">
        <f>$B3 * IFERROR(VLOOKUP("buildings|SO2|Infant mortality", US_national_yearly!$D:$AM, 35, FALSE) / VLOOKUP("buildings|SO2|Infant mortality", US_national_yearly!$D:$AM, 10, FALSE), 1)</f>
        <v>5.9634536467033689E-6</v>
      </c>
      <c r="AB3" s="7">
        <f>$B3 * IFERROR(VLOOKUP("buildings|SO2|Infant mortality", US_national_yearly!$D:$AM, 36, FALSE) / VLOOKUP("buildings|SO2|Infant mortality", US_national_yearly!$D:$AM, 10, FALSE), 1)</f>
        <v>5.9278192448973003E-6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2.0310938904436571E-2</v>
      </c>
      <c r="C6" s="7">
        <f>$B6 * IFERROR(VLOOKUP("buildings|SO2|Asthma symptoms cough", US_national_yearly!$D:$AM, 11, FALSE) / VLOOKUP("buildings|SO2|Asthma symptoms cough", US_national_yearly!$D:$AM, 10, FALSE), 1)</f>
        <v>2.0310938904436571E-2</v>
      </c>
      <c r="D6" s="7">
        <f>$B6 * IFERROR(VLOOKUP("buildings|SO2|Asthma symptoms cough", US_national_yearly!$D:$AM, 12, FALSE) / VLOOKUP("buildings|SO2|Asthma symptoms cough", US_national_yearly!$D:$AM, 10, FALSE), 1)</f>
        <v>2.0310938904436571E-2</v>
      </c>
      <c r="E6" s="7">
        <f>$B6 * IFERROR(VLOOKUP("buildings|SO2|Asthma symptoms cough", US_national_yearly!$D:$AM, 13, FALSE) / VLOOKUP("buildings|SO2|Asthma symptoms cough", US_national_yearly!$D:$AM, 10, FALSE), 1)</f>
        <v>2.0310938904436571E-2</v>
      </c>
      <c r="F6" s="7">
        <f>$B6 * IFERROR(VLOOKUP("buildings|SO2|Asthma symptoms cough", US_national_yearly!$D:$AM, 14, FALSE) / VLOOKUP("buildings|SO2|Asthma symptoms cough", US_national_yearly!$D:$AM, 10, FALSE), 1)</f>
        <v>2.0310938904436571E-2</v>
      </c>
      <c r="G6" s="7">
        <f>$B6 * IFERROR(VLOOKUP("buildings|SO2|Asthma symptoms cough", US_national_yearly!$D:$AM, 15, FALSE) / VLOOKUP("buildings|SO2|Asthma symptoms cough", US_national_yearly!$D:$AM, 10, FALSE), 1)</f>
        <v>2.0310938904436571E-2</v>
      </c>
      <c r="H6" s="7">
        <f>$B6 * IFERROR(VLOOKUP("buildings|SO2|Asthma symptoms cough", US_national_yearly!$D:$AM, 16, FALSE) / VLOOKUP("buildings|SO2|Asthma symptoms cough", US_national_yearly!$D:$AM, 10, FALSE), 1)</f>
        <v>2.0310938904436571E-2</v>
      </c>
      <c r="I6" s="7">
        <f>$B6 * IFERROR(VLOOKUP("buildings|SO2|Asthma symptoms cough", US_national_yearly!$D:$AM, 17, FALSE) / VLOOKUP("buildings|SO2|Asthma symptoms cough", US_national_yearly!$D:$AM, 10, FALSE), 1)</f>
        <v>2.0310938904436571E-2</v>
      </c>
      <c r="J6" s="7">
        <f>$B6 * IFERROR(VLOOKUP("buildings|SO2|Asthma symptoms cough", US_national_yearly!$D:$AM, 18, FALSE) / VLOOKUP("buildings|SO2|Asthma symptoms cough", US_national_yearly!$D:$AM, 10, FALSE), 1)</f>
        <v>2.0310938904436571E-2</v>
      </c>
      <c r="K6" s="7">
        <f>$B6 * IFERROR(VLOOKUP("buildings|SO2|Asthma symptoms cough", US_national_yearly!$D:$AM, 19, FALSE) / VLOOKUP("buildings|SO2|Asthma symptoms cough", US_national_yearly!$D:$AM, 10, FALSE), 1)</f>
        <v>2.0310938904436571E-2</v>
      </c>
      <c r="L6" s="7">
        <f>$B6 * IFERROR(VLOOKUP("buildings|SO2|Asthma symptoms cough", US_national_yearly!$D:$AM, 20, FALSE) / VLOOKUP("buildings|SO2|Asthma symptoms cough", US_national_yearly!$D:$AM, 10, FALSE), 1)</f>
        <v>2.0310938904436571E-2</v>
      </c>
      <c r="M6" s="7">
        <f>$B6 * IFERROR(VLOOKUP("buildings|SO2|Asthma symptoms cough", US_national_yearly!$D:$AM, 21, FALSE) / VLOOKUP("buildings|SO2|Asthma symptoms cough", US_national_yearly!$D:$AM, 10, FALSE), 1)</f>
        <v>2.0310938904436571E-2</v>
      </c>
      <c r="N6" s="7">
        <f>$B6 * IFERROR(VLOOKUP("buildings|SO2|Asthma symptoms cough", US_national_yearly!$D:$AM, 22, FALSE) / VLOOKUP("buildings|SO2|Asthma symptoms cough", US_national_yearly!$D:$AM, 10, FALSE), 1)</f>
        <v>2.0310938904436571E-2</v>
      </c>
      <c r="O6" s="7">
        <f>$B6 * IFERROR(VLOOKUP("buildings|SO2|Asthma symptoms cough", US_national_yearly!$D:$AM, 23, FALSE) / VLOOKUP("buildings|SO2|Asthma symptoms cough", US_national_yearly!$D:$AM, 10, FALSE), 1)</f>
        <v>2.0310938904436571E-2</v>
      </c>
      <c r="P6" s="7">
        <f>$B6 * IFERROR(VLOOKUP("buildings|SO2|Asthma symptoms cough", US_national_yearly!$D:$AM, 24, FALSE) / VLOOKUP("buildings|SO2|Asthma symptoms cough", US_national_yearly!$D:$AM, 10, FALSE), 1)</f>
        <v>2.0310938904436571E-2</v>
      </c>
      <c r="Q6" s="7">
        <f>$B6 * IFERROR(VLOOKUP("buildings|SO2|Asthma symptoms cough", US_national_yearly!$D:$AM, 25, FALSE) / VLOOKUP("buildings|SO2|Asthma symptoms cough", US_national_yearly!$D:$AM, 10, FALSE), 1)</f>
        <v>2.0310938904436571E-2</v>
      </c>
      <c r="R6" s="7">
        <f>$B6 * IFERROR(VLOOKUP("buildings|SO2|Asthma symptoms cough", US_national_yearly!$D:$AM, 26, FALSE) / VLOOKUP("buildings|SO2|Asthma symptoms cough", US_national_yearly!$D:$AM, 10, FALSE), 1)</f>
        <v>2.0310938904436571E-2</v>
      </c>
      <c r="S6" s="7">
        <f>$B6 * IFERROR(VLOOKUP("buildings|SO2|Asthma symptoms cough", US_national_yearly!$D:$AM, 27, FALSE) / VLOOKUP("buildings|SO2|Asthma symptoms cough", US_national_yearly!$D:$AM, 10, FALSE), 1)</f>
        <v>2.0310938904436571E-2</v>
      </c>
      <c r="T6" s="7">
        <f>$B6 * IFERROR(VLOOKUP("buildings|SO2|Asthma symptoms cough", US_national_yearly!$D:$AM, 28, FALSE) / VLOOKUP("buildings|SO2|Asthma symptoms cough", US_national_yearly!$D:$AM, 10, FALSE), 1)</f>
        <v>2.0310938904436571E-2</v>
      </c>
      <c r="U6" s="7">
        <f>$B6 * IFERROR(VLOOKUP("buildings|SO2|Asthma symptoms cough", US_national_yearly!$D:$AM, 29, FALSE) / VLOOKUP("buildings|SO2|Asthma symptoms cough", US_national_yearly!$D:$AM, 10, FALSE), 1)</f>
        <v>2.0310938904436571E-2</v>
      </c>
      <c r="V6" s="7">
        <f>$B6 * IFERROR(VLOOKUP("buildings|SO2|Asthma symptoms cough", US_national_yearly!$D:$AM, 30, FALSE) / VLOOKUP("buildings|SO2|Asthma symptoms cough", US_national_yearly!$D:$AM, 10, FALSE), 1)</f>
        <v>2.0310938904436571E-2</v>
      </c>
      <c r="W6" s="7">
        <f>$B6 * IFERROR(VLOOKUP("buildings|SO2|Asthma symptoms cough", US_national_yearly!$D:$AM, 31, FALSE) / VLOOKUP("buildings|SO2|Asthma symptoms cough", US_national_yearly!$D:$AM, 10, FALSE), 1)</f>
        <v>2.0310938904436571E-2</v>
      </c>
      <c r="X6" s="7">
        <f>$B6 * IFERROR(VLOOKUP("buildings|SO2|Asthma symptoms cough", US_national_yearly!$D:$AM, 32, FALSE) / VLOOKUP("buildings|SO2|Asthma symptoms cough", US_national_yearly!$D:$AM, 10, FALSE), 1)</f>
        <v>2.0310938904436571E-2</v>
      </c>
      <c r="Y6" s="7">
        <f>$B6 * IFERROR(VLOOKUP("buildings|SO2|Asthma symptoms cough", US_national_yearly!$D:$AM, 33, FALSE) / VLOOKUP("buildings|SO2|Asthma symptoms cough", US_national_yearly!$D:$AM, 10, FALSE), 1)</f>
        <v>2.0310938904436571E-2</v>
      </c>
      <c r="Z6" s="7">
        <f>$B6 * IFERROR(VLOOKUP("buildings|SO2|Asthma symptoms cough", US_national_yearly!$D:$AM, 34, FALSE) / VLOOKUP("buildings|SO2|Asthma symptoms cough", US_national_yearly!$D:$AM, 10, FALSE), 1)</f>
        <v>2.0310938904436571E-2</v>
      </c>
      <c r="AA6" s="7">
        <f>$B6 * IFERROR(VLOOKUP("buildings|SO2|Asthma symptoms cough", US_national_yearly!$D:$AM, 35, FALSE) / VLOOKUP("buildings|SO2|Asthma symptoms cough", US_national_yearly!$D:$AM, 10, FALSE), 1)</f>
        <v>2.0310938904436571E-2</v>
      </c>
      <c r="AB6" s="7">
        <f>$B6 * IFERROR(VLOOKUP("buildings|SO2|Asthma symptoms cough", US_national_yearly!$D:$AM, 36, FALSE) / VLOOKUP("buildings|SO2|Asthma symptoms cough", US_national_yearly!$D:$AM, 10, FALSE), 1)</f>
        <v>2.0310938904436571E-2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2.7351660260225927E-2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2.7351660260225927E-2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2.7351660260225927E-2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2.7351660260225927E-2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2.7351660260225927E-2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2.7351660260225927E-2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2.7351660260225927E-2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2.7351660260225927E-2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2.7351660260225927E-2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2.7351660260225927E-2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2.7351660260225927E-2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2.7351660260225927E-2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2.7351660260225927E-2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2.7351660260225927E-2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2.7351660260225927E-2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2.7351660260225927E-2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2.7351660260225927E-2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2.7351660260225927E-2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2.7351660260225927E-2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2.7351660260225927E-2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2.7351660260225927E-2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2.7351660260225927E-2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2.7351660260225927E-2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2.7351660260225927E-2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2.7351660260225927E-2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2.7351660260225927E-2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2.7351660260225927E-2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4.1788580703873937E-2</v>
      </c>
      <c r="C8" s="7">
        <f>$B8 * IFERROR(VLOOKUP("buildings|SO2|Asthma symptoms wheeze", US_national_yearly!$D:$AM, 11, FALSE) / VLOOKUP("buildings|SO2|Asthma symptoms wheeze", US_national_yearly!$D:$AM, 10, FALSE), 1)</f>
        <v>4.1788580703873937E-2</v>
      </c>
      <c r="D8" s="7">
        <f>$B8 * IFERROR(VLOOKUP("buildings|SO2|Asthma symptoms wheeze", US_national_yearly!$D:$AM, 12, FALSE) / VLOOKUP("buildings|SO2|Asthma symptoms wheeze", US_national_yearly!$D:$AM, 10, FALSE), 1)</f>
        <v>4.1788580703873937E-2</v>
      </c>
      <c r="E8" s="7">
        <f>$B8 * IFERROR(VLOOKUP("buildings|SO2|Asthma symptoms wheeze", US_national_yearly!$D:$AM, 13, FALSE) / VLOOKUP("buildings|SO2|Asthma symptoms wheeze", US_national_yearly!$D:$AM, 10, FALSE), 1)</f>
        <v>4.1788580703873937E-2</v>
      </c>
      <c r="F8" s="7">
        <f>$B8 * IFERROR(VLOOKUP("buildings|SO2|Asthma symptoms wheeze", US_national_yearly!$D:$AM, 14, FALSE) / VLOOKUP("buildings|SO2|Asthma symptoms wheeze", US_national_yearly!$D:$AM, 10, FALSE), 1)</f>
        <v>4.1788580703873937E-2</v>
      </c>
      <c r="G8" s="7">
        <f>$B8 * IFERROR(VLOOKUP("buildings|SO2|Asthma symptoms wheeze", US_national_yearly!$D:$AM, 15, FALSE) / VLOOKUP("buildings|SO2|Asthma symptoms wheeze", US_national_yearly!$D:$AM, 10, FALSE), 1)</f>
        <v>4.1788580703873937E-2</v>
      </c>
      <c r="H8" s="7">
        <f>$B8 * IFERROR(VLOOKUP("buildings|SO2|Asthma symptoms wheeze", US_national_yearly!$D:$AM, 16, FALSE) / VLOOKUP("buildings|SO2|Asthma symptoms wheeze", US_national_yearly!$D:$AM, 10, FALSE), 1)</f>
        <v>4.1788580703873937E-2</v>
      </c>
      <c r="I8" s="7">
        <f>$B8 * IFERROR(VLOOKUP("buildings|SO2|Asthma symptoms wheeze", US_national_yearly!$D:$AM, 17, FALSE) / VLOOKUP("buildings|SO2|Asthma symptoms wheeze", US_national_yearly!$D:$AM, 10, FALSE), 1)</f>
        <v>4.1788580703873937E-2</v>
      </c>
      <c r="J8" s="7">
        <f>$B8 * IFERROR(VLOOKUP("buildings|SO2|Asthma symptoms wheeze", US_national_yearly!$D:$AM, 18, FALSE) / VLOOKUP("buildings|SO2|Asthma symptoms wheeze", US_national_yearly!$D:$AM, 10, FALSE), 1)</f>
        <v>4.1788580703873937E-2</v>
      </c>
      <c r="K8" s="7">
        <f>$B8 * IFERROR(VLOOKUP("buildings|SO2|Asthma symptoms wheeze", US_national_yearly!$D:$AM, 19, FALSE) / VLOOKUP("buildings|SO2|Asthma symptoms wheeze", US_national_yearly!$D:$AM, 10, FALSE), 1)</f>
        <v>4.1788580703873937E-2</v>
      </c>
      <c r="L8" s="7">
        <f>$B8 * IFERROR(VLOOKUP("buildings|SO2|Asthma symptoms wheeze", US_national_yearly!$D:$AM, 20, FALSE) / VLOOKUP("buildings|SO2|Asthma symptoms wheeze", US_national_yearly!$D:$AM, 10, FALSE), 1)</f>
        <v>4.1788580703873937E-2</v>
      </c>
      <c r="M8" s="7">
        <f>$B8 * IFERROR(VLOOKUP("buildings|SO2|Asthma symptoms wheeze", US_national_yearly!$D:$AM, 21, FALSE) / VLOOKUP("buildings|SO2|Asthma symptoms wheeze", US_national_yearly!$D:$AM, 10, FALSE), 1)</f>
        <v>4.1788580703873937E-2</v>
      </c>
      <c r="N8" s="7">
        <f>$B8 * IFERROR(VLOOKUP("buildings|SO2|Asthma symptoms wheeze", US_national_yearly!$D:$AM, 22, FALSE) / VLOOKUP("buildings|SO2|Asthma symptoms wheeze", US_national_yearly!$D:$AM, 10, FALSE), 1)</f>
        <v>4.1788580703873937E-2</v>
      </c>
      <c r="O8" s="7">
        <f>$B8 * IFERROR(VLOOKUP("buildings|SO2|Asthma symptoms wheeze", US_national_yearly!$D:$AM, 23, FALSE) / VLOOKUP("buildings|SO2|Asthma symptoms wheeze", US_national_yearly!$D:$AM, 10, FALSE), 1)</f>
        <v>4.1788580703873937E-2</v>
      </c>
      <c r="P8" s="7">
        <f>$B8 * IFERROR(VLOOKUP("buildings|SO2|Asthma symptoms wheeze", US_national_yearly!$D:$AM, 24, FALSE) / VLOOKUP("buildings|SO2|Asthma symptoms wheeze", US_national_yearly!$D:$AM, 10, FALSE), 1)</f>
        <v>4.1788580703873937E-2</v>
      </c>
      <c r="Q8" s="7">
        <f>$B8 * IFERROR(VLOOKUP("buildings|SO2|Asthma symptoms wheeze", US_national_yearly!$D:$AM, 25, FALSE) / VLOOKUP("buildings|SO2|Asthma symptoms wheeze", US_national_yearly!$D:$AM, 10, FALSE), 1)</f>
        <v>4.1788580703873937E-2</v>
      </c>
      <c r="R8" s="7">
        <f>$B8 * IFERROR(VLOOKUP("buildings|SO2|Asthma symptoms wheeze", US_national_yearly!$D:$AM, 26, FALSE) / VLOOKUP("buildings|SO2|Asthma symptoms wheeze", US_national_yearly!$D:$AM, 10, FALSE), 1)</f>
        <v>4.1788580703873937E-2</v>
      </c>
      <c r="S8" s="7">
        <f>$B8 * IFERROR(VLOOKUP("buildings|SO2|Asthma symptoms wheeze", US_national_yearly!$D:$AM, 27, FALSE) / VLOOKUP("buildings|SO2|Asthma symptoms wheeze", US_national_yearly!$D:$AM, 10, FALSE), 1)</f>
        <v>4.1788580703873937E-2</v>
      </c>
      <c r="T8" s="7">
        <f>$B8 * IFERROR(VLOOKUP("buildings|SO2|Asthma symptoms wheeze", US_national_yearly!$D:$AM, 28, FALSE) / VLOOKUP("buildings|SO2|Asthma symptoms wheeze", US_national_yearly!$D:$AM, 10, FALSE), 1)</f>
        <v>4.1788580703873937E-2</v>
      </c>
      <c r="U8" s="7">
        <f>$B8 * IFERROR(VLOOKUP("buildings|SO2|Asthma symptoms wheeze", US_national_yearly!$D:$AM, 29, FALSE) / VLOOKUP("buildings|SO2|Asthma symptoms wheeze", US_national_yearly!$D:$AM, 10, FALSE), 1)</f>
        <v>4.1788580703873937E-2</v>
      </c>
      <c r="V8" s="7">
        <f>$B8 * IFERROR(VLOOKUP("buildings|SO2|Asthma symptoms wheeze", US_national_yearly!$D:$AM, 30, FALSE) / VLOOKUP("buildings|SO2|Asthma symptoms wheeze", US_national_yearly!$D:$AM, 10, FALSE), 1)</f>
        <v>4.1788580703873937E-2</v>
      </c>
      <c r="W8" s="7">
        <f>$B8 * IFERROR(VLOOKUP("buildings|SO2|Asthma symptoms wheeze", US_national_yearly!$D:$AM, 31, FALSE) / VLOOKUP("buildings|SO2|Asthma symptoms wheeze", US_national_yearly!$D:$AM, 10, FALSE), 1)</f>
        <v>4.1788580703873937E-2</v>
      </c>
      <c r="X8" s="7">
        <f>$B8 * IFERROR(VLOOKUP("buildings|SO2|Asthma symptoms wheeze", US_national_yearly!$D:$AM, 32, FALSE) / VLOOKUP("buildings|SO2|Asthma symptoms wheeze", US_national_yearly!$D:$AM, 10, FALSE), 1)</f>
        <v>4.1788580703873937E-2</v>
      </c>
      <c r="Y8" s="7">
        <f>$B8 * IFERROR(VLOOKUP("buildings|SO2|Asthma symptoms wheeze", US_national_yearly!$D:$AM, 33, FALSE) / VLOOKUP("buildings|SO2|Asthma symptoms wheeze", US_national_yearly!$D:$AM, 10, FALSE), 1)</f>
        <v>4.1788580703873937E-2</v>
      </c>
      <c r="Z8" s="7">
        <f>$B8 * IFERROR(VLOOKUP("buildings|SO2|Asthma symptoms wheeze", US_national_yearly!$D:$AM, 34, FALSE) / VLOOKUP("buildings|SO2|Asthma symptoms wheeze", US_national_yearly!$D:$AM, 10, FALSE), 1)</f>
        <v>4.1788580703873937E-2</v>
      </c>
      <c r="AA8" s="7">
        <f>$B8 * IFERROR(VLOOKUP("buildings|SO2|Asthma symptoms wheeze", US_national_yearly!$D:$AM, 35, FALSE) / VLOOKUP("buildings|SO2|Asthma symptoms wheeze", US_national_yearly!$D:$AM, 10, FALSE), 1)</f>
        <v>4.1788580703873937E-2</v>
      </c>
      <c r="AB8" s="7">
        <f>$B8 * IFERROR(VLOOKUP("buildings|SO2|Asthma symptoms wheeze", US_national_yearly!$D:$AM, 36, FALSE) / VLOOKUP("buildings|SO2|Asthma symptoms wheeze", US_national_yearly!$D:$AM, 10, FALSE), 1)</f>
        <v>4.1788580703873937E-2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3.863952636848766E-4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3.8867746210943295E-4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3.9095966053398929E-4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3.9324185895854563E-4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3.9552405738310187E-4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3.9801136614081811E-4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4.0049867489853436E-4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4.0294646111654469E-4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4.0539424733455513E-4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4.0784203355256551E-4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4.1028981977057585E-4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4.1273760598858629E-4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4.1452489513610119E-4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4.163121842836161E-4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4.1809947343113095E-4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4.1988676257864586E-4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4.2167405172616076E-4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4.2337825290802913E-4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4.2508245408989759E-4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4.2678665527176601E-4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4.2849085645363437E-4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4.3019505763550284E-4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4.3181449340778466E-4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4.3343392918006654E-4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4.3505336495234831E-4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4.3667280072463008E-4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4.3829223649691196E-4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2.4164701586478748E-3</v>
      </c>
      <c r="C13" s="7">
        <f>$B13 * IFERROR(VLOOKUP("buildings|SO2|Non-fatal heart attacks", US_national_yearly!$D:$AM, 11, FALSE) / VLOOKUP("buildings|SO2|Non-fatal heart attacks", US_national_yearly!$D:$AM, 10, FALSE), 1)</f>
        <v>2.4874318804340174E-3</v>
      </c>
      <c r="D13" s="7">
        <f>$B13 * IFERROR(VLOOKUP("buildings|SO2|Non-fatal heart attacks", US_national_yearly!$D:$AM, 12, FALSE) / VLOOKUP("buildings|SO2|Non-fatal heart attacks", US_national_yearly!$D:$AM, 10, FALSE), 1)</f>
        <v>2.5583936022201595E-3</v>
      </c>
      <c r="E13" s="7">
        <f>$B13 * IFERROR(VLOOKUP("buildings|SO2|Non-fatal heart attacks", US_national_yearly!$D:$AM, 13, FALSE) / VLOOKUP("buildings|SO2|Non-fatal heart attacks", US_national_yearly!$D:$AM, 10, FALSE), 1)</f>
        <v>2.6293553240063017E-3</v>
      </c>
      <c r="F13" s="7">
        <f>$B13 * IFERROR(VLOOKUP("buildings|SO2|Non-fatal heart attacks", US_national_yearly!$D:$AM, 14, FALSE) / VLOOKUP("buildings|SO2|Non-fatal heart attacks", US_national_yearly!$D:$AM, 10, FALSE), 1)</f>
        <v>2.7003170457924443E-3</v>
      </c>
      <c r="G13" s="7">
        <f>$B13 * IFERROR(VLOOKUP("buildings|SO2|Non-fatal heart attacks", US_national_yearly!$D:$AM, 15, FALSE) / VLOOKUP("buildings|SO2|Non-fatal heart attacks", US_national_yearly!$D:$AM, 10, FALSE), 1)</f>
        <v>2.7672453941639959E-3</v>
      </c>
      <c r="H13" s="7">
        <f>$B13 * IFERROR(VLOOKUP("buildings|SO2|Non-fatal heart attacks", US_national_yearly!$D:$AM, 16, FALSE) / VLOOKUP("buildings|SO2|Non-fatal heart attacks", US_national_yearly!$D:$AM, 10, FALSE), 1)</f>
        <v>2.834173742535548E-3</v>
      </c>
      <c r="I13" s="7">
        <f>$B13 * IFERROR(VLOOKUP("buildings|SO2|Non-fatal heart attacks", US_national_yearly!$D:$AM, 17, FALSE) / VLOOKUP("buildings|SO2|Non-fatal heart attacks", US_national_yearly!$D:$AM, 10, FALSE), 1)</f>
        <v>2.8880466267114206E-3</v>
      </c>
      <c r="J13" s="7">
        <f>$B13 * IFERROR(VLOOKUP("buildings|SO2|Non-fatal heart attacks", US_national_yearly!$D:$AM, 18, FALSE) / VLOOKUP("buildings|SO2|Non-fatal heart attacks", US_national_yearly!$D:$AM, 10, FALSE), 1)</f>
        <v>2.9419195108872937E-3</v>
      </c>
      <c r="K13" s="7">
        <f>$B13 * IFERROR(VLOOKUP("buildings|SO2|Non-fatal heart attacks", US_national_yearly!$D:$AM, 19, FALSE) / VLOOKUP("buildings|SO2|Non-fatal heart attacks", US_national_yearly!$D:$AM, 10, FALSE), 1)</f>
        <v>2.9957923950631672E-3</v>
      </c>
      <c r="L13" s="7">
        <f>$B13 * IFERROR(VLOOKUP("buildings|SO2|Non-fatal heart attacks", US_national_yearly!$D:$AM, 20, FALSE) / VLOOKUP("buildings|SO2|Non-fatal heart attacks", US_national_yearly!$D:$AM, 10, FALSE), 1)</f>
        <v>3.0496652792390408E-3</v>
      </c>
      <c r="M13" s="7">
        <f>$B13 * IFERROR(VLOOKUP("buildings|SO2|Non-fatal heart attacks", US_national_yearly!$D:$AM, 21, FALSE) / VLOOKUP("buildings|SO2|Non-fatal heart attacks", US_national_yearly!$D:$AM, 10, FALSE), 1)</f>
        <v>3.1035381634149143E-3</v>
      </c>
      <c r="N13" s="7">
        <f>$B13 * IFERROR(VLOOKUP("buildings|SO2|Non-fatal heart attacks", US_national_yearly!$D:$AM, 22, FALSE) / VLOOKUP("buildings|SO2|Non-fatal heart attacks", US_national_yearly!$D:$AM, 10, FALSE), 1)</f>
        <v>3.1385041695711005E-3</v>
      </c>
      <c r="O13" s="7">
        <f>$B13 * IFERROR(VLOOKUP("buildings|SO2|Non-fatal heart attacks", US_national_yearly!$D:$AM, 23, FALSE) / VLOOKUP("buildings|SO2|Non-fatal heart attacks", US_national_yearly!$D:$AM, 10, FALSE), 1)</f>
        <v>3.1734701757272872E-3</v>
      </c>
      <c r="P13" s="7">
        <f>$B13 * IFERROR(VLOOKUP("buildings|SO2|Non-fatal heart attacks", US_national_yearly!$D:$AM, 24, FALSE) / VLOOKUP("buildings|SO2|Non-fatal heart attacks", US_national_yearly!$D:$AM, 10, FALSE), 1)</f>
        <v>3.2084361818834738E-3</v>
      </c>
      <c r="Q13" s="7">
        <f>$B13 * IFERROR(VLOOKUP("buildings|SO2|Non-fatal heart attacks", US_national_yearly!$D:$AM, 25, FALSE) / VLOOKUP("buildings|SO2|Non-fatal heart attacks", US_national_yearly!$D:$AM, 10, FALSE), 1)</f>
        <v>3.2434021880396601E-3</v>
      </c>
      <c r="R13" s="7">
        <f>$B13 * IFERROR(VLOOKUP("buildings|SO2|Non-fatal heart attacks", US_national_yearly!$D:$AM, 26, FALSE) / VLOOKUP("buildings|SO2|Non-fatal heart attacks", US_national_yearly!$D:$AM, 10, FALSE), 1)</f>
        <v>3.2783681941958467E-3</v>
      </c>
      <c r="S13" s="7">
        <f>$B13 * IFERROR(VLOOKUP("buildings|SO2|Non-fatal heart attacks", US_national_yearly!$D:$AM, 27, FALSE) / VLOOKUP("buildings|SO2|Non-fatal heart attacks", US_national_yearly!$D:$AM, 10, FALSE), 1)</f>
        <v>3.29662738535808E-3</v>
      </c>
      <c r="T13" s="7">
        <f>$B13 * IFERROR(VLOOKUP("buildings|SO2|Non-fatal heart attacks", US_national_yearly!$D:$AM, 28, FALSE) / VLOOKUP("buildings|SO2|Non-fatal heart attacks", US_national_yearly!$D:$AM, 10, FALSE), 1)</f>
        <v>3.3148865765203132E-3</v>
      </c>
      <c r="U13" s="7">
        <f>$B13 * IFERROR(VLOOKUP("buildings|SO2|Non-fatal heart attacks", US_national_yearly!$D:$AM, 29, FALSE) / VLOOKUP("buildings|SO2|Non-fatal heart attacks", US_national_yearly!$D:$AM, 10, FALSE), 1)</f>
        <v>3.3331457676825456E-3</v>
      </c>
      <c r="V13" s="7">
        <f>$B13 * IFERROR(VLOOKUP("buildings|SO2|Non-fatal heart attacks", US_national_yearly!$D:$AM, 30, FALSE) / VLOOKUP("buildings|SO2|Non-fatal heart attacks", US_national_yearly!$D:$AM, 10, FALSE), 1)</f>
        <v>3.3514049588447789E-3</v>
      </c>
      <c r="W13" s="7">
        <f>$B13 * IFERROR(VLOOKUP("buildings|SO2|Non-fatal heart attacks", US_national_yearly!$D:$AM, 31, FALSE) / VLOOKUP("buildings|SO2|Non-fatal heart attacks", US_national_yearly!$D:$AM, 10, FALSE), 1)</f>
        <v>3.3696641500070117E-3</v>
      </c>
      <c r="X13" s="7">
        <f>$B13 * IFERROR(VLOOKUP("buildings|SO2|Non-fatal heart attacks", US_national_yearly!$D:$AM, 32, FALSE) / VLOOKUP("buildings|SO2|Non-fatal heart attacks", US_national_yearly!$D:$AM, 10, FALSE), 1)</f>
        <v>3.3834548320274987E-3</v>
      </c>
      <c r="Y13" s="7">
        <f>$B13 * IFERROR(VLOOKUP("buildings|SO2|Non-fatal heart attacks", US_national_yearly!$D:$AM, 33, FALSE) / VLOOKUP("buildings|SO2|Non-fatal heart attacks", US_national_yearly!$D:$AM, 10, FALSE), 1)</f>
        <v>3.3972455140479857E-3</v>
      </c>
      <c r="Z13" s="7">
        <f>$B13 * IFERROR(VLOOKUP("buildings|SO2|Non-fatal heart attacks", US_national_yearly!$D:$AM, 34, FALSE) / VLOOKUP("buildings|SO2|Non-fatal heart attacks", US_national_yearly!$D:$AM, 10, FALSE), 1)</f>
        <v>3.4110361960684719E-3</v>
      </c>
      <c r="AA13" s="7">
        <f>$B13 * IFERROR(VLOOKUP("buildings|SO2|Non-fatal heart attacks", US_national_yearly!$D:$AM, 35, FALSE) / VLOOKUP("buildings|SO2|Non-fatal heart attacks", US_national_yearly!$D:$AM, 10, FALSE), 1)</f>
        <v>3.4248268780889594E-3</v>
      </c>
      <c r="AB13" s="7">
        <f>$B13 * IFERROR(VLOOKUP("buildings|SO2|Non-fatal heart attacks", US_national_yearly!$D:$AM, 36, FALSE) / VLOOKUP("buildings|SO2|Non-fatal heart attacks", US_national_yearly!$D:$AM, 10, FALSE), 1)</f>
        <v>3.438617560109446E-3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2.2963349221942737</v>
      </c>
      <c r="C14" s="7">
        <f>$B14 * IFERROR(VLOOKUP("buildings|SO2|Minor restricted activity days", US_national_yearly!$D:$AM, 11, FALSE) / VLOOKUP("buildings|SO2|Minor restricted activity days", US_national_yearly!$D:$AM, 10, FALSE), 1)</f>
        <v>2.3021479730828278</v>
      </c>
      <c r="D14" s="7">
        <f>$B14 * IFERROR(VLOOKUP("buildings|SO2|Minor restricted activity days", US_national_yearly!$D:$AM, 12, FALSE) / VLOOKUP("buildings|SO2|Minor restricted activity days", US_national_yearly!$D:$AM, 10, FALSE), 1)</f>
        <v>2.3079610239713824</v>
      </c>
      <c r="E14" s="7">
        <f>$B14 * IFERROR(VLOOKUP("buildings|SO2|Minor restricted activity days", US_national_yearly!$D:$AM, 13, FALSE) / VLOOKUP("buildings|SO2|Minor restricted activity days", US_national_yearly!$D:$AM, 10, FALSE), 1)</f>
        <v>2.3137740748599369</v>
      </c>
      <c r="F14" s="7">
        <f>$B14 * IFERROR(VLOOKUP("buildings|SO2|Minor restricted activity days", US_national_yearly!$D:$AM, 14, FALSE) / VLOOKUP("buildings|SO2|Minor restricted activity days", US_national_yearly!$D:$AM, 10, FALSE), 1)</f>
        <v>2.319587125748491</v>
      </c>
      <c r="G14" s="7">
        <f>$B14 * IFERROR(VLOOKUP("buildings|SO2|Minor restricted activity days", US_national_yearly!$D:$AM, 15, FALSE) / VLOOKUP("buildings|SO2|Minor restricted activity days", US_national_yearly!$D:$AM, 10, FALSE), 1)</f>
        <v>2.328134613824127</v>
      </c>
      <c r="H14" s="7">
        <f>$B14 * IFERROR(VLOOKUP("buildings|SO2|Minor restricted activity days", US_national_yearly!$D:$AM, 16, FALSE) / VLOOKUP("buildings|SO2|Minor restricted activity days", US_national_yearly!$D:$AM, 10, FALSE), 1)</f>
        <v>2.336682101899763</v>
      </c>
      <c r="I14" s="7">
        <f>$B14 * IFERROR(VLOOKUP("buildings|SO2|Minor restricted activity days", US_national_yearly!$D:$AM, 17, FALSE) / VLOOKUP("buildings|SO2|Minor restricted activity days", US_national_yearly!$D:$AM, 10, FALSE), 1)</f>
        <v>2.3512393342739251</v>
      </c>
      <c r="J14" s="7">
        <f>$B14 * IFERROR(VLOOKUP("buildings|SO2|Minor restricted activity days", US_national_yearly!$D:$AM, 18, FALSE) / VLOOKUP("buildings|SO2|Minor restricted activity days", US_national_yearly!$D:$AM, 10, FALSE), 1)</f>
        <v>2.365796566648088</v>
      </c>
      <c r="K14" s="7">
        <f>$B14 * IFERROR(VLOOKUP("buildings|SO2|Minor restricted activity days", US_national_yearly!$D:$AM, 19, FALSE) / VLOOKUP("buildings|SO2|Minor restricted activity days", US_national_yearly!$D:$AM, 10, FALSE), 1)</f>
        <v>2.3803537990222505</v>
      </c>
      <c r="L14" s="7">
        <f>$B14 * IFERROR(VLOOKUP("buildings|SO2|Minor restricted activity days", US_national_yearly!$D:$AM, 20, FALSE) / VLOOKUP("buildings|SO2|Minor restricted activity days", US_national_yearly!$D:$AM, 10, FALSE), 1)</f>
        <v>2.3949110313964126</v>
      </c>
      <c r="M14" s="7">
        <f>$B14 * IFERROR(VLOOKUP("buildings|SO2|Minor restricted activity days", US_national_yearly!$D:$AM, 21, FALSE) / VLOOKUP("buildings|SO2|Minor restricted activity days", US_national_yearly!$D:$AM, 10, FALSE), 1)</f>
        <v>2.4094682637705751</v>
      </c>
      <c r="N14" s="7">
        <f>$B14 * IFERROR(VLOOKUP("buildings|SO2|Minor restricted activity days", US_national_yearly!$D:$AM, 22, FALSE) / VLOOKUP("buildings|SO2|Minor restricted activity days", US_national_yearly!$D:$AM, 10, FALSE), 1)</f>
        <v>2.429374514071502</v>
      </c>
      <c r="O14" s="7">
        <f>$B14 * IFERROR(VLOOKUP("buildings|SO2|Minor restricted activity days", US_national_yearly!$D:$AM, 23, FALSE) / VLOOKUP("buildings|SO2|Minor restricted activity days", US_national_yearly!$D:$AM, 10, FALSE), 1)</f>
        <v>2.4492807643724288</v>
      </c>
      <c r="P14" s="7">
        <f>$B14 * IFERROR(VLOOKUP("buildings|SO2|Minor restricted activity days", US_national_yearly!$D:$AM, 24, FALSE) / VLOOKUP("buildings|SO2|Minor restricted activity days", US_national_yearly!$D:$AM, 10, FALSE), 1)</f>
        <v>2.4691870146733557</v>
      </c>
      <c r="Q14" s="7">
        <f>$B14 * IFERROR(VLOOKUP("buildings|SO2|Minor restricted activity days", US_national_yearly!$D:$AM, 25, FALSE) / VLOOKUP("buildings|SO2|Minor restricted activity days", US_national_yearly!$D:$AM, 10, FALSE), 1)</f>
        <v>2.4890932649742825</v>
      </c>
      <c r="R14" s="7">
        <f>$B14 * IFERROR(VLOOKUP("buildings|SO2|Minor restricted activity days", US_national_yearly!$D:$AM, 26, FALSE) / VLOOKUP("buildings|SO2|Minor restricted activity days", US_national_yearly!$D:$AM, 10, FALSE), 1)</f>
        <v>2.5089995152752098</v>
      </c>
      <c r="S14" s="7">
        <f>$B14 * IFERROR(VLOOKUP("buildings|SO2|Minor restricted activity days", US_national_yearly!$D:$AM, 27, FALSE) / VLOOKUP("buildings|SO2|Minor restricted activity days", US_national_yearly!$D:$AM, 10, FALSE), 1)</f>
        <v>2.5292926451087023</v>
      </c>
      <c r="T14" s="7">
        <f>$B14 * IFERROR(VLOOKUP("buildings|SO2|Minor restricted activity days", US_national_yearly!$D:$AM, 28, FALSE) / VLOOKUP("buildings|SO2|Minor restricted activity days", US_national_yearly!$D:$AM, 10, FALSE), 1)</f>
        <v>2.5495857749421948</v>
      </c>
      <c r="U14" s="7">
        <f>$B14 * IFERROR(VLOOKUP("buildings|SO2|Minor restricted activity days", US_national_yearly!$D:$AM, 29, FALSE) / VLOOKUP("buildings|SO2|Minor restricted activity days", US_national_yearly!$D:$AM, 10, FALSE), 1)</f>
        <v>2.5698789047756874</v>
      </c>
      <c r="V14" s="7">
        <f>$B14 * IFERROR(VLOOKUP("buildings|SO2|Minor restricted activity days", US_national_yearly!$D:$AM, 30, FALSE) / VLOOKUP("buildings|SO2|Minor restricted activity days", US_national_yearly!$D:$AM, 10, FALSE), 1)</f>
        <v>2.5901720346091799</v>
      </c>
      <c r="W14" s="7">
        <f>$B14 * IFERROR(VLOOKUP("buildings|SO2|Minor restricted activity days", US_national_yearly!$D:$AM, 31, FALSE) / VLOOKUP("buildings|SO2|Minor restricted activity days", US_national_yearly!$D:$AM, 10, FALSE), 1)</f>
        <v>2.6104651644426733</v>
      </c>
      <c r="X14" s="7">
        <f>$B14 * IFERROR(VLOOKUP("buildings|SO2|Minor restricted activity days", US_national_yearly!$D:$AM, 32, FALSE) / VLOOKUP("buildings|SO2|Minor restricted activity days", US_national_yearly!$D:$AM, 10, FALSE), 1)</f>
        <v>2.6283117977480357</v>
      </c>
      <c r="Y14" s="7">
        <f>$B14 * IFERROR(VLOOKUP("buildings|SO2|Minor restricted activity days", US_national_yearly!$D:$AM, 33, FALSE) / VLOOKUP("buildings|SO2|Minor restricted activity days", US_national_yearly!$D:$AM, 10, FALSE), 1)</f>
        <v>2.646158431053399</v>
      </c>
      <c r="Z14" s="7">
        <f>$B14 * IFERROR(VLOOKUP("buildings|SO2|Minor restricted activity days", US_national_yearly!$D:$AM, 34, FALSE) / VLOOKUP("buildings|SO2|Minor restricted activity days", US_national_yearly!$D:$AM, 10, FALSE), 1)</f>
        <v>2.6640050643587614</v>
      </c>
      <c r="AA14" s="7">
        <f>$B14 * IFERROR(VLOOKUP("buildings|SO2|Minor restricted activity days", US_national_yearly!$D:$AM, 35, FALSE) / VLOOKUP("buildings|SO2|Minor restricted activity days", US_national_yearly!$D:$AM, 10, FALSE), 1)</f>
        <v>2.6818516976641242</v>
      </c>
      <c r="AB14" s="7">
        <f>$B14 * IFERROR(VLOOKUP("buildings|SO2|Minor restricted activity days", US_national_yearly!$D:$AM, 36, FALSE) / VLOOKUP("buildings|SO2|Minor restricted activity days", US_national_yearly!$D:$AM, 10, FALSE), 1)</f>
        <v>2.6996983309694871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0.39201221810097198</v>
      </c>
      <c r="C15" s="7">
        <f>$B15 * IFERROR(VLOOKUP("buildings|SO2|Work loss days", US_national_yearly!$D:$AM, 11, FALSE) / VLOOKUP("buildings|SO2|Work loss days", US_national_yearly!$D:$AM, 10, FALSE), 1)</f>
        <v>0.39328585941353583</v>
      </c>
      <c r="D15" s="7">
        <f>$B15 * IFERROR(VLOOKUP("buildings|SO2|Work loss days", US_national_yearly!$D:$AM, 12, FALSE) / VLOOKUP("buildings|SO2|Work loss days", US_national_yearly!$D:$AM, 10, FALSE), 1)</f>
        <v>0.39455950072609969</v>
      </c>
      <c r="E15" s="7">
        <f>$B15 * IFERROR(VLOOKUP("buildings|SO2|Work loss days", US_national_yearly!$D:$AM, 13, FALSE) / VLOOKUP("buildings|SO2|Work loss days", US_national_yearly!$D:$AM, 10, FALSE), 1)</f>
        <v>0.39583314203866349</v>
      </c>
      <c r="F15" s="7">
        <f>$B15 * IFERROR(VLOOKUP("buildings|SO2|Work loss days", US_national_yearly!$D:$AM, 14, FALSE) / VLOOKUP("buildings|SO2|Work loss days", US_national_yearly!$D:$AM, 10, FALSE), 1)</f>
        <v>0.39710678335122729</v>
      </c>
      <c r="G15" s="7">
        <f>$B15 * IFERROR(VLOOKUP("buildings|SO2|Work loss days", US_national_yearly!$D:$AM, 15, FALSE) / VLOOKUP("buildings|SO2|Work loss days", US_national_yearly!$D:$AM, 10, FALSE), 1)</f>
        <v>0.39877022938698953</v>
      </c>
      <c r="H15" s="7">
        <f>$B15 * IFERROR(VLOOKUP("buildings|SO2|Work loss days", US_national_yearly!$D:$AM, 16, FALSE) / VLOOKUP("buildings|SO2|Work loss days", US_national_yearly!$D:$AM, 10, FALSE), 1)</f>
        <v>0.40043367542275182</v>
      </c>
      <c r="I15" s="7">
        <f>$B15 * IFERROR(VLOOKUP("buildings|SO2|Work loss days", US_national_yearly!$D:$AM, 17, FALSE) / VLOOKUP("buildings|SO2|Work loss days", US_national_yearly!$D:$AM, 10, FALSE), 1)</f>
        <v>0.40286572663371434</v>
      </c>
      <c r="J15" s="7">
        <f>$B15 * IFERROR(VLOOKUP("buildings|SO2|Work loss days", US_national_yearly!$D:$AM, 18, FALSE) / VLOOKUP("buildings|SO2|Work loss days", US_national_yearly!$D:$AM, 10, FALSE), 1)</f>
        <v>0.40529777784467674</v>
      </c>
      <c r="K15" s="7">
        <f>$B15 * IFERROR(VLOOKUP("buildings|SO2|Work loss days", US_national_yearly!$D:$AM, 19, FALSE) / VLOOKUP("buildings|SO2|Work loss days", US_national_yearly!$D:$AM, 10, FALSE), 1)</f>
        <v>0.40772982905563926</v>
      </c>
      <c r="L15" s="7">
        <f>$B15 * IFERROR(VLOOKUP("buildings|SO2|Work loss days", US_national_yearly!$D:$AM, 20, FALSE) / VLOOKUP("buildings|SO2|Work loss days", US_national_yearly!$D:$AM, 10, FALSE), 1)</f>
        <v>0.41016188026660166</v>
      </c>
      <c r="M15" s="7">
        <f>$B15 * IFERROR(VLOOKUP("buildings|SO2|Work loss days", US_national_yearly!$D:$AM, 21, FALSE) / VLOOKUP("buildings|SO2|Work loss days", US_national_yearly!$D:$AM, 10, FALSE), 1)</f>
        <v>0.41259393147756407</v>
      </c>
      <c r="N15" s="7">
        <f>$B15 * IFERROR(VLOOKUP("buildings|SO2|Work loss days", US_national_yearly!$D:$AM, 22, FALSE) / VLOOKUP("buildings|SO2|Work loss days", US_national_yearly!$D:$AM, 10, FALSE), 1)</f>
        <v>0.41564368385598649</v>
      </c>
      <c r="O15" s="7">
        <f>$B15 * IFERROR(VLOOKUP("buildings|SO2|Work loss days", US_national_yearly!$D:$AM, 23, FALSE) / VLOOKUP("buildings|SO2|Work loss days", US_national_yearly!$D:$AM, 10, FALSE), 1)</f>
        <v>0.41869343623440891</v>
      </c>
      <c r="P15" s="7">
        <f>$B15 * IFERROR(VLOOKUP("buildings|SO2|Work loss days", US_national_yearly!$D:$AM, 24, FALSE) / VLOOKUP("buildings|SO2|Work loss days", US_national_yearly!$D:$AM, 10, FALSE), 1)</f>
        <v>0.42174318861283128</v>
      </c>
      <c r="Q15" s="7">
        <f>$B15 * IFERROR(VLOOKUP("buildings|SO2|Work loss days", US_national_yearly!$D:$AM, 25, FALSE) / VLOOKUP("buildings|SO2|Work loss days", US_national_yearly!$D:$AM, 10, FALSE), 1)</f>
        <v>0.4247929409912537</v>
      </c>
      <c r="R15" s="7">
        <f>$B15 * IFERROR(VLOOKUP("buildings|SO2|Work loss days", US_national_yearly!$D:$AM, 26, FALSE) / VLOOKUP("buildings|SO2|Work loss days", US_national_yearly!$D:$AM, 10, FALSE), 1)</f>
        <v>0.42784269336967601</v>
      </c>
      <c r="S15" s="7">
        <f>$B15 * IFERROR(VLOOKUP("buildings|SO2|Work loss days", US_national_yearly!$D:$AM, 27, FALSE) / VLOOKUP("buildings|SO2|Work loss days", US_national_yearly!$D:$AM, 10, FALSE), 1)</f>
        <v>0.43124953391798521</v>
      </c>
      <c r="T15" s="7">
        <f>$B15 * IFERROR(VLOOKUP("buildings|SO2|Work loss days", US_national_yearly!$D:$AM, 28, FALSE) / VLOOKUP("buildings|SO2|Work loss days", US_national_yearly!$D:$AM, 10, FALSE), 1)</f>
        <v>0.43465637446629435</v>
      </c>
      <c r="U15" s="7">
        <f>$B15 * IFERROR(VLOOKUP("buildings|SO2|Work loss days", US_national_yearly!$D:$AM, 29, FALSE) / VLOOKUP("buildings|SO2|Work loss days", US_national_yearly!$D:$AM, 10, FALSE), 1)</f>
        <v>0.43806321501460355</v>
      </c>
      <c r="V15" s="7">
        <f>$B15 * IFERROR(VLOOKUP("buildings|SO2|Work loss days", US_national_yearly!$D:$AM, 30, FALSE) / VLOOKUP("buildings|SO2|Work loss days", US_national_yearly!$D:$AM, 10, FALSE), 1)</f>
        <v>0.44147005556291263</v>
      </c>
      <c r="W15" s="7">
        <f>$B15 * IFERROR(VLOOKUP("buildings|SO2|Work loss days", US_national_yearly!$D:$AM, 31, FALSE) / VLOOKUP("buildings|SO2|Work loss days", US_national_yearly!$D:$AM, 10, FALSE), 1)</f>
        <v>0.44487689611122183</v>
      </c>
      <c r="X15" s="7">
        <f>$B15 * IFERROR(VLOOKUP("buildings|SO2|Work loss days", US_national_yearly!$D:$AM, 32, FALSE) / VLOOKUP("buildings|SO2|Work loss days", US_national_yearly!$D:$AM, 10, FALSE), 1)</f>
        <v>0.44793583734585218</v>
      </c>
      <c r="Y15" s="7">
        <f>$B15 * IFERROR(VLOOKUP("buildings|SO2|Work loss days", US_national_yearly!$D:$AM, 33, FALSE) / VLOOKUP("buildings|SO2|Work loss days", US_national_yearly!$D:$AM, 10, FALSE), 1)</f>
        <v>0.45099477858048259</v>
      </c>
      <c r="Z15" s="7">
        <f>$B15 * IFERROR(VLOOKUP("buildings|SO2|Work loss days", US_national_yearly!$D:$AM, 34, FALSE) / VLOOKUP("buildings|SO2|Work loss days", US_national_yearly!$D:$AM, 10, FALSE), 1)</f>
        <v>0.45405371981511289</v>
      </c>
      <c r="AA15" s="7">
        <f>$B15 * IFERROR(VLOOKUP("buildings|SO2|Work loss days", US_national_yearly!$D:$AM, 35, FALSE) / VLOOKUP("buildings|SO2|Work loss days", US_national_yearly!$D:$AM, 10, FALSE), 1)</f>
        <v>0.45711266104974324</v>
      </c>
      <c r="AB15" s="7">
        <f>$B15 * IFERROR(VLOOKUP("buildings|SO2|Work loss days", US_national_yearly!$D:$AM, 36, FALSE) / VLOOKUP("buildings|SO2|Work loss days", US_national_yearly!$D:$AM, 10, FALSE), 1)</f>
        <v>0.46017160228437354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5.9520121516106351E-4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6.1320567009541234E-4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6.3121012502976128E-4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6.4921457996411022E-4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6.6721903489845905E-4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6.8446622428199641E-4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7.0171341366553365E-4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7.1649422022321111E-4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7.3127502678088825E-4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7.4605583333856561E-4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7.6083663989624296E-4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7.756174464539201E-4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7.8554246183359759E-4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7.954674772132752E-4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8.0539249259295269E-4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8.1531750797263008E-4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8.2524252335230768E-4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8.3046187927730602E-4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8.3568123520230447E-4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8.4090059112730271E-4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8.4611994705230105E-4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8.5133930297729939E-4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8.548441122142713E-4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8.583489214512432E-4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8.61853730688215E-4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8.6535853992518691E-4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8.6886334916215881E-4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3.1563721960928291E-2</v>
      </c>
      <c r="C2" s="7">
        <f>$B2 * IFERROR(VLOOKUP("industry|PM25|Premature mortality", US_national_yearly!$D:$AM, 11, FALSE) / VLOOKUP("industry|PM25|Premature mortality", US_national_yearly!$D:$AM, 10, FALSE), 1)</f>
        <v>3.1956793446253878E-2</v>
      </c>
      <c r="D2" s="7">
        <f>$B2 * IFERROR(VLOOKUP("industry|PM25|Premature mortality", US_national_yearly!$D:$AM, 12, FALSE) / VLOOKUP("industry|PM25|Premature mortality", US_national_yearly!$D:$AM, 10, FALSE), 1)</f>
        <v>3.2349864931579451E-2</v>
      </c>
      <c r="E2" s="7">
        <f>$B2 * IFERROR(VLOOKUP("industry|PM25|Premature mortality", US_national_yearly!$D:$AM, 13, FALSE) / VLOOKUP("industry|PM25|Premature mortality", US_national_yearly!$D:$AM, 10, FALSE), 1)</f>
        <v>3.2742936416905039E-2</v>
      </c>
      <c r="F2" s="7">
        <f>$B2 * IFERROR(VLOOKUP("industry|PM25|Premature mortality", US_national_yearly!$D:$AM, 14, FALSE) / VLOOKUP("industry|PM25|Premature mortality", US_national_yearly!$D:$AM, 10, FALSE), 1)</f>
        <v>3.3136007902230619E-2</v>
      </c>
      <c r="G2" s="7">
        <f>$B2 * IFERROR(VLOOKUP("industry|PM25|Premature mortality", US_national_yearly!$D:$AM, 15, FALSE) / VLOOKUP("industry|PM25|Premature mortality", US_national_yearly!$D:$AM, 10, FALSE), 1)</f>
        <v>3.3900722371569519E-2</v>
      </c>
      <c r="H2" s="7">
        <f>$B2 * IFERROR(VLOOKUP("industry|PM25|Premature mortality", US_national_yearly!$D:$AM, 16, FALSE) / VLOOKUP("industry|PM25|Premature mortality", US_national_yearly!$D:$AM, 10, FALSE), 1)</f>
        <v>3.466543684090842E-2</v>
      </c>
      <c r="I2" s="7">
        <f>$B2 * IFERROR(VLOOKUP("industry|PM25|Premature mortality", US_national_yearly!$D:$AM, 17, FALSE) / VLOOKUP("industry|PM25|Premature mortality", US_national_yearly!$D:$AM, 10, FALSE), 1)</f>
        <v>3.5170375262854318E-2</v>
      </c>
      <c r="J2" s="7">
        <f>$B2 * IFERROR(VLOOKUP("industry|PM25|Premature mortality", US_national_yearly!$D:$AM, 18, FALSE) / VLOOKUP("industry|PM25|Premature mortality", US_national_yearly!$D:$AM, 10, FALSE), 1)</f>
        <v>3.5675313684800203E-2</v>
      </c>
      <c r="K2" s="7">
        <f>$B2 * IFERROR(VLOOKUP("industry|PM25|Premature mortality", US_national_yearly!$D:$AM, 19, FALSE) / VLOOKUP("industry|PM25|Premature mortality", US_national_yearly!$D:$AM, 10, FALSE), 1)</f>
        <v>3.6180252106746087E-2</v>
      </c>
      <c r="L2" s="7">
        <f>$B2 * IFERROR(VLOOKUP("industry|PM25|Premature mortality", US_national_yearly!$D:$AM, 20, FALSE) / VLOOKUP("industry|PM25|Premature mortality", US_national_yearly!$D:$AM, 10, FALSE), 1)</f>
        <v>3.6685190528691979E-2</v>
      </c>
      <c r="M2" s="7">
        <f>$B2 * IFERROR(VLOOKUP("industry|PM25|Premature mortality", US_national_yearly!$D:$AM, 21, FALSE) / VLOOKUP("industry|PM25|Premature mortality", US_national_yearly!$D:$AM, 10, FALSE), 1)</f>
        <v>3.719012895063787E-2</v>
      </c>
      <c r="N2" s="7">
        <f>$B2 * IFERROR(VLOOKUP("industry|PM25|Premature mortality", US_national_yearly!$D:$AM, 22, FALSE) / VLOOKUP("industry|PM25|Premature mortality", US_national_yearly!$D:$AM, 10, FALSE), 1)</f>
        <v>3.7583519151986058E-2</v>
      </c>
      <c r="O2" s="7">
        <f>$B2 * IFERROR(VLOOKUP("industry|PM25|Premature mortality", US_national_yearly!$D:$AM, 23, FALSE) / VLOOKUP("industry|PM25|Premature mortality", US_national_yearly!$D:$AM, 10, FALSE), 1)</f>
        <v>3.797690935333424E-2</v>
      </c>
      <c r="P2" s="7">
        <f>$B2 * IFERROR(VLOOKUP("industry|PM25|Premature mortality", US_national_yearly!$D:$AM, 24, FALSE) / VLOOKUP("industry|PM25|Premature mortality", US_national_yearly!$D:$AM, 10, FALSE), 1)</f>
        <v>3.8370299554682429E-2</v>
      </c>
      <c r="Q2" s="7">
        <f>$B2 * IFERROR(VLOOKUP("industry|PM25|Premature mortality", US_national_yearly!$D:$AM, 25, FALSE) / VLOOKUP("industry|PM25|Premature mortality", US_national_yearly!$D:$AM, 10, FALSE), 1)</f>
        <v>3.8763689756030617E-2</v>
      </c>
      <c r="R2" s="7">
        <f>$B2 * IFERROR(VLOOKUP("industry|PM25|Premature mortality", US_national_yearly!$D:$AM, 26, FALSE) / VLOOKUP("industry|PM25|Premature mortality", US_national_yearly!$D:$AM, 10, FALSE), 1)</f>
        <v>3.9157079957378799E-2</v>
      </c>
      <c r="S2" s="7">
        <f>$B2 * IFERROR(VLOOKUP("industry|PM25|Premature mortality", US_national_yearly!$D:$AM, 27, FALSE) / VLOOKUP("industry|PM25|Premature mortality", US_national_yearly!$D:$AM, 10, FALSE), 1)</f>
        <v>3.9369496075373066E-2</v>
      </c>
      <c r="T2" s="7">
        <f>$B2 * IFERROR(VLOOKUP("industry|PM25|Premature mortality", US_national_yearly!$D:$AM, 28, FALSE) / VLOOKUP("industry|PM25|Premature mortality", US_national_yearly!$D:$AM, 10, FALSE), 1)</f>
        <v>3.958191219336734E-2</v>
      </c>
      <c r="U2" s="7">
        <f>$B2 * IFERROR(VLOOKUP("industry|PM25|Premature mortality", US_national_yearly!$D:$AM, 29, FALSE) / VLOOKUP("industry|PM25|Premature mortality", US_national_yearly!$D:$AM, 10, FALSE), 1)</f>
        <v>3.9794328311361621E-2</v>
      </c>
      <c r="V2" s="7">
        <f>$B2 * IFERROR(VLOOKUP("industry|PM25|Premature mortality", US_national_yearly!$D:$AM, 30, FALSE) / VLOOKUP("industry|PM25|Premature mortality", US_national_yearly!$D:$AM, 10, FALSE), 1)</f>
        <v>4.0006744429355895E-2</v>
      </c>
      <c r="W2" s="7">
        <f>$B2 * IFERROR(VLOOKUP("industry|PM25|Premature mortality", US_national_yearly!$D:$AM, 31, FALSE) / VLOOKUP("industry|PM25|Premature mortality", US_national_yearly!$D:$AM, 10, FALSE), 1)</f>
        <v>4.0219160547350162E-2</v>
      </c>
      <c r="X2" s="7">
        <f>$B2 * IFERROR(VLOOKUP("industry|PM25|Premature mortality", US_national_yearly!$D:$AM, 32, FALSE) / VLOOKUP("industry|PM25|Premature mortality", US_national_yearly!$D:$AM, 10, FALSE), 1)</f>
        <v>4.0263017030394505E-2</v>
      </c>
      <c r="Y2" s="7">
        <f>$B2 * IFERROR(VLOOKUP("industry|PM25|Premature mortality", US_national_yearly!$D:$AM, 33, FALSE) / VLOOKUP("industry|PM25|Premature mortality", US_national_yearly!$D:$AM, 10, FALSE), 1)</f>
        <v>4.0306873513438868E-2</v>
      </c>
      <c r="Z2" s="7">
        <f>$B2 * IFERROR(VLOOKUP("industry|PM25|Premature mortality", US_national_yearly!$D:$AM, 34, FALSE) / VLOOKUP("industry|PM25|Premature mortality", US_national_yearly!$D:$AM, 10, FALSE), 1)</f>
        <v>4.035072999648321E-2</v>
      </c>
      <c r="AA2" s="7">
        <f>$B2 * IFERROR(VLOOKUP("industry|PM25|Premature mortality", US_national_yearly!$D:$AM, 35, FALSE) / VLOOKUP("industry|PM25|Premature mortality", US_national_yearly!$D:$AM, 10, FALSE), 1)</f>
        <v>4.0394586479527567E-2</v>
      </c>
      <c r="AB2" s="7">
        <f>$B2 * IFERROR(VLOOKUP("industry|PM25|Premature mortality", US_national_yearly!$D:$AM, 36, FALSE) / VLOOKUP("industry|PM25|Premature mortality", US_national_yearly!$D:$AM, 10, FALSE), 1)</f>
        <v>4.0438442962571916E-2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1.2248872076887392E-4</v>
      </c>
      <c r="C3" s="7">
        <f>$B3 * IFERROR(VLOOKUP("industry|PM25|Infant mortality", US_national_yearly!$D:$AM, 11, FALSE) / VLOOKUP("industry|PM25|Infant mortality", US_national_yearly!$D:$AM, 10, FALSE), 1)</f>
        <v>1.2142222999141852E-4</v>
      </c>
      <c r="D3" s="7">
        <f>$B3 * IFERROR(VLOOKUP("industry|PM25|Infant mortality", US_national_yearly!$D:$AM, 12, FALSE) / VLOOKUP("industry|PM25|Infant mortality", US_national_yearly!$D:$AM, 10, FALSE), 1)</f>
        <v>1.2035573921396311E-4</v>
      </c>
      <c r="E3" s="7">
        <f>$B3 * IFERROR(VLOOKUP("industry|PM25|Infant mortality", US_national_yearly!$D:$AM, 13, FALSE) / VLOOKUP("industry|PM25|Infant mortality", US_national_yearly!$D:$AM, 10, FALSE), 1)</f>
        <v>1.1928924843650768E-4</v>
      </c>
      <c r="F3" s="7">
        <f>$B3 * IFERROR(VLOOKUP("industry|PM25|Infant mortality", US_national_yearly!$D:$AM, 14, FALSE) / VLOOKUP("industry|PM25|Infant mortality", US_national_yearly!$D:$AM, 10, FALSE), 1)</f>
        <v>1.1822275765905229E-4</v>
      </c>
      <c r="G3" s="7">
        <f>$B3 * IFERROR(VLOOKUP("industry|PM25|Infant mortality", US_national_yearly!$D:$AM, 15, FALSE) / VLOOKUP("industry|PM25|Infant mortality", US_national_yearly!$D:$AM, 10, FALSE), 1)</f>
        <v>7.8551338337702433E-5</v>
      </c>
      <c r="H3" s="7">
        <f>$B3 * IFERROR(VLOOKUP("industry|PM25|Infant mortality", US_national_yearly!$D:$AM, 16, FALSE) / VLOOKUP("industry|PM25|Infant mortality", US_national_yearly!$D:$AM, 10, FALSE), 1)</f>
        <v>3.887991901635258E-5</v>
      </c>
      <c r="I3" s="7">
        <f>$B3 * IFERROR(VLOOKUP("industry|PM25|Infant mortality", US_national_yearly!$D:$AM, 17, FALSE) / VLOOKUP("industry|PM25|Infant mortality", US_national_yearly!$D:$AM, 10, FALSE), 1)</f>
        <v>3.8621134807514539E-5</v>
      </c>
      <c r="J3" s="7">
        <f>$B3 * IFERROR(VLOOKUP("industry|PM25|Infant mortality", US_national_yearly!$D:$AM, 18, FALSE) / VLOOKUP("industry|PM25|Infant mortality", US_national_yearly!$D:$AM, 10, FALSE), 1)</f>
        <v>3.8362350598676498E-5</v>
      </c>
      <c r="K3" s="7">
        <f>$B3 * IFERROR(VLOOKUP("industry|PM25|Infant mortality", US_national_yearly!$D:$AM, 19, FALSE) / VLOOKUP("industry|PM25|Infant mortality", US_national_yearly!$D:$AM, 10, FALSE), 1)</f>
        <v>3.8103566389838456E-5</v>
      </c>
      <c r="L3" s="7">
        <f>$B3 * IFERROR(VLOOKUP("industry|PM25|Infant mortality", US_national_yearly!$D:$AM, 20, FALSE) / VLOOKUP("industry|PM25|Infant mortality", US_national_yearly!$D:$AM, 10, FALSE), 1)</f>
        <v>3.7844782181000408E-5</v>
      </c>
      <c r="M3" s="7">
        <f>$B3 * IFERROR(VLOOKUP("industry|PM25|Infant mortality", US_national_yearly!$D:$AM, 21, FALSE) / VLOOKUP("industry|PM25|Infant mortality", US_national_yearly!$D:$AM, 10, FALSE), 1)</f>
        <v>3.7585997972162367E-5</v>
      </c>
      <c r="N3" s="7">
        <f>$B3 * IFERROR(VLOOKUP("industry|PM25|Infant mortality", US_national_yearly!$D:$AM, 22, FALSE) / VLOOKUP("industry|PM25|Infant mortality", US_national_yearly!$D:$AM, 10, FALSE), 1)</f>
        <v>3.7420868446741377E-5</v>
      </c>
      <c r="O3" s="7">
        <f>$B3 * IFERROR(VLOOKUP("industry|PM25|Infant mortality", US_national_yearly!$D:$AM, 23, FALSE) / VLOOKUP("industry|PM25|Infant mortality", US_national_yearly!$D:$AM, 10, FALSE), 1)</f>
        <v>3.72557389213204E-5</v>
      </c>
      <c r="P3" s="7">
        <f>$B3 * IFERROR(VLOOKUP("industry|PM25|Infant mortality", US_national_yearly!$D:$AM, 24, FALSE) / VLOOKUP("industry|PM25|Infant mortality", US_national_yearly!$D:$AM, 10, FALSE), 1)</f>
        <v>3.7090609395899423E-5</v>
      </c>
      <c r="Q3" s="7">
        <f>$B3 * IFERROR(VLOOKUP("industry|PM25|Infant mortality", US_national_yearly!$D:$AM, 25, FALSE) / VLOOKUP("industry|PM25|Infant mortality", US_national_yearly!$D:$AM, 10, FALSE), 1)</f>
        <v>3.692547987047844E-5</v>
      </c>
      <c r="R3" s="7">
        <f>$B3 * IFERROR(VLOOKUP("industry|PM25|Infant mortality", US_national_yearly!$D:$AM, 26, FALSE) / VLOOKUP("industry|PM25|Infant mortality", US_national_yearly!$D:$AM, 10, FALSE), 1)</f>
        <v>3.6760350345057456E-5</v>
      </c>
      <c r="S3" s="7">
        <f>$B3 * IFERROR(VLOOKUP("industry|PM25|Infant mortality", US_national_yearly!$D:$AM, 27, FALSE) / VLOOKUP("industry|PM25|Infant mortality", US_national_yearly!$D:$AM, 10, FALSE), 1)</f>
        <v>3.6557255938395527E-5</v>
      </c>
      <c r="T3" s="7">
        <f>$B3 * IFERROR(VLOOKUP("industry|PM25|Infant mortality", US_national_yearly!$D:$AM, 28, FALSE) / VLOOKUP("industry|PM25|Infant mortality", US_national_yearly!$D:$AM, 10, FALSE), 1)</f>
        <v>3.6354161531733611E-5</v>
      </c>
      <c r="U3" s="7">
        <f>$B3 * IFERROR(VLOOKUP("industry|PM25|Infant mortality", US_national_yearly!$D:$AM, 29, FALSE) / VLOOKUP("industry|PM25|Infant mortality", US_national_yearly!$D:$AM, 10, FALSE), 1)</f>
        <v>3.6151067125071682E-5</v>
      </c>
      <c r="V3" s="7">
        <f>$B3 * IFERROR(VLOOKUP("industry|PM25|Infant mortality", US_national_yearly!$D:$AM, 30, FALSE) / VLOOKUP("industry|PM25|Infant mortality", US_national_yearly!$D:$AM, 10, FALSE), 1)</f>
        <v>3.5947972718409766E-5</v>
      </c>
      <c r="W3" s="7">
        <f>$B3 * IFERROR(VLOOKUP("industry|PM25|Infant mortality", US_national_yearly!$D:$AM, 31, FALSE) / VLOOKUP("industry|PM25|Infant mortality", US_national_yearly!$D:$AM, 10, FALSE), 1)</f>
        <v>3.5744878311747844E-5</v>
      </c>
      <c r="X3" s="7">
        <f>$B3 * IFERROR(VLOOKUP("industry|PM25|Infant mortality", US_national_yearly!$D:$AM, 32, FALSE) / VLOOKUP("industry|PM25|Infant mortality", US_national_yearly!$D:$AM, 10, FALSE), 1)</f>
        <v>3.5527846489795441E-5</v>
      </c>
      <c r="Y3" s="7">
        <f>$B3 * IFERROR(VLOOKUP("industry|PM25|Infant mortality", US_national_yearly!$D:$AM, 33, FALSE) / VLOOKUP("industry|PM25|Infant mortality", US_national_yearly!$D:$AM, 10, FALSE), 1)</f>
        <v>3.5310814667843031E-5</v>
      </c>
      <c r="Z3" s="7">
        <f>$B3 * IFERROR(VLOOKUP("industry|PM25|Infant mortality", US_national_yearly!$D:$AM, 34, FALSE) / VLOOKUP("industry|PM25|Infant mortality", US_national_yearly!$D:$AM, 10, FALSE), 1)</f>
        <v>3.5093782845890622E-5</v>
      </c>
      <c r="AA3" s="7">
        <f>$B3 * IFERROR(VLOOKUP("industry|PM25|Infant mortality", US_national_yearly!$D:$AM, 35, FALSE) / VLOOKUP("industry|PM25|Infant mortality", US_national_yearly!$D:$AM, 10, FALSE), 1)</f>
        <v>3.4876751023938219E-5</v>
      </c>
      <c r="AB3" s="7">
        <f>$B3 * IFERROR(VLOOKUP("industry|PM25|Infant mortality", US_national_yearly!$D:$AM, 36, FALSE) / VLOOKUP("industry|PM25|Infant mortality", US_national_yearly!$D:$AM, 10, FALSE), 1)</f>
        <v>3.4659719201985809E-5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0.12179661599576787</v>
      </c>
      <c r="C6" s="7">
        <f>$B6 * IFERROR(VLOOKUP("industry|PM25|Asthma symptoms cough", US_national_yearly!$D:$AM, 11, FALSE) / VLOOKUP("industry|PM25|Asthma symptoms cough", US_national_yearly!$D:$AM, 10, FALSE), 1)</f>
        <v>0.12179661599576787</v>
      </c>
      <c r="D6" s="7">
        <f>$B6 * IFERROR(VLOOKUP("industry|PM25|Asthma symptoms cough", US_national_yearly!$D:$AM, 12, FALSE) / VLOOKUP("industry|PM25|Asthma symptoms cough", US_national_yearly!$D:$AM, 10, FALSE), 1)</f>
        <v>0.12179661599576787</v>
      </c>
      <c r="E6" s="7">
        <f>$B6 * IFERROR(VLOOKUP("industry|PM25|Asthma symptoms cough", US_national_yearly!$D:$AM, 13, FALSE) / VLOOKUP("industry|PM25|Asthma symptoms cough", US_national_yearly!$D:$AM, 10, FALSE), 1)</f>
        <v>0.12179661599576787</v>
      </c>
      <c r="F6" s="7">
        <f>$B6 * IFERROR(VLOOKUP("industry|PM25|Asthma symptoms cough", US_national_yearly!$D:$AM, 14, FALSE) / VLOOKUP("industry|PM25|Asthma symptoms cough", US_national_yearly!$D:$AM, 10, FALSE), 1)</f>
        <v>0.12179661599576787</v>
      </c>
      <c r="G6" s="7">
        <f>$B6 * IFERROR(VLOOKUP("industry|PM25|Asthma symptoms cough", US_national_yearly!$D:$AM, 15, FALSE) / VLOOKUP("industry|PM25|Asthma symptoms cough", US_national_yearly!$D:$AM, 10, FALSE), 1)</f>
        <v>0.12179661599576787</v>
      </c>
      <c r="H6" s="7">
        <f>$B6 * IFERROR(VLOOKUP("industry|PM25|Asthma symptoms cough", US_national_yearly!$D:$AM, 16, FALSE) / VLOOKUP("industry|PM25|Asthma symptoms cough", US_national_yearly!$D:$AM, 10, FALSE), 1)</f>
        <v>0.12179661599576787</v>
      </c>
      <c r="I6" s="7">
        <f>$B6 * IFERROR(VLOOKUP("industry|PM25|Asthma symptoms cough", US_national_yearly!$D:$AM, 17, FALSE) / VLOOKUP("industry|PM25|Asthma symptoms cough", US_national_yearly!$D:$AM, 10, FALSE), 1)</f>
        <v>0.12179661599576787</v>
      </c>
      <c r="J6" s="7">
        <f>$B6 * IFERROR(VLOOKUP("industry|PM25|Asthma symptoms cough", US_national_yearly!$D:$AM, 18, FALSE) / VLOOKUP("industry|PM25|Asthma symptoms cough", US_national_yearly!$D:$AM, 10, FALSE), 1)</f>
        <v>0.12179661599576787</v>
      </c>
      <c r="K6" s="7">
        <f>$B6 * IFERROR(VLOOKUP("industry|PM25|Asthma symptoms cough", US_national_yearly!$D:$AM, 19, FALSE) / VLOOKUP("industry|PM25|Asthma symptoms cough", US_national_yearly!$D:$AM, 10, FALSE), 1)</f>
        <v>0.12179661599576787</v>
      </c>
      <c r="L6" s="7">
        <f>$B6 * IFERROR(VLOOKUP("industry|PM25|Asthma symptoms cough", US_national_yearly!$D:$AM, 20, FALSE) / VLOOKUP("industry|PM25|Asthma symptoms cough", US_national_yearly!$D:$AM, 10, FALSE), 1)</f>
        <v>0.12179661599576787</v>
      </c>
      <c r="M6" s="7">
        <f>$B6 * IFERROR(VLOOKUP("industry|PM25|Asthma symptoms cough", US_national_yearly!$D:$AM, 21, FALSE) / VLOOKUP("industry|PM25|Asthma symptoms cough", US_national_yearly!$D:$AM, 10, FALSE), 1)</f>
        <v>0.12179661599576787</v>
      </c>
      <c r="N6" s="7">
        <f>$B6 * IFERROR(VLOOKUP("industry|PM25|Asthma symptoms cough", US_national_yearly!$D:$AM, 22, FALSE) / VLOOKUP("industry|PM25|Asthma symptoms cough", US_national_yearly!$D:$AM, 10, FALSE), 1)</f>
        <v>0.12179661599576787</v>
      </c>
      <c r="O6" s="7">
        <f>$B6 * IFERROR(VLOOKUP("industry|PM25|Asthma symptoms cough", US_national_yearly!$D:$AM, 23, FALSE) / VLOOKUP("industry|PM25|Asthma symptoms cough", US_national_yearly!$D:$AM, 10, FALSE), 1)</f>
        <v>0.12179661599576787</v>
      </c>
      <c r="P6" s="7">
        <f>$B6 * IFERROR(VLOOKUP("industry|PM25|Asthma symptoms cough", US_national_yearly!$D:$AM, 24, FALSE) / VLOOKUP("industry|PM25|Asthma symptoms cough", US_national_yearly!$D:$AM, 10, FALSE), 1)</f>
        <v>0.12179661599576787</v>
      </c>
      <c r="Q6" s="7">
        <f>$B6 * IFERROR(VLOOKUP("industry|PM25|Asthma symptoms cough", US_national_yearly!$D:$AM, 25, FALSE) / VLOOKUP("industry|PM25|Asthma symptoms cough", US_national_yearly!$D:$AM, 10, FALSE), 1)</f>
        <v>0.12179661599576787</v>
      </c>
      <c r="R6" s="7">
        <f>$B6 * IFERROR(VLOOKUP("industry|PM25|Asthma symptoms cough", US_national_yearly!$D:$AM, 26, FALSE) / VLOOKUP("industry|PM25|Asthma symptoms cough", US_national_yearly!$D:$AM, 10, FALSE), 1)</f>
        <v>0.12179661599576787</v>
      </c>
      <c r="S6" s="7">
        <f>$B6 * IFERROR(VLOOKUP("industry|PM25|Asthma symptoms cough", US_national_yearly!$D:$AM, 27, FALSE) / VLOOKUP("industry|PM25|Asthma symptoms cough", US_national_yearly!$D:$AM, 10, FALSE), 1)</f>
        <v>0.12179661599576787</v>
      </c>
      <c r="T6" s="7">
        <f>$B6 * IFERROR(VLOOKUP("industry|PM25|Asthma symptoms cough", US_national_yearly!$D:$AM, 28, FALSE) / VLOOKUP("industry|PM25|Asthma symptoms cough", US_national_yearly!$D:$AM, 10, FALSE), 1)</f>
        <v>0.12179661599576787</v>
      </c>
      <c r="U6" s="7">
        <f>$B6 * IFERROR(VLOOKUP("industry|PM25|Asthma symptoms cough", US_national_yearly!$D:$AM, 29, FALSE) / VLOOKUP("industry|PM25|Asthma symptoms cough", US_national_yearly!$D:$AM, 10, FALSE), 1)</f>
        <v>0.12179661599576787</v>
      </c>
      <c r="V6" s="7">
        <f>$B6 * IFERROR(VLOOKUP("industry|PM25|Asthma symptoms cough", US_national_yearly!$D:$AM, 30, FALSE) / VLOOKUP("industry|PM25|Asthma symptoms cough", US_national_yearly!$D:$AM, 10, FALSE), 1)</f>
        <v>0.12179661599576787</v>
      </c>
      <c r="W6" s="7">
        <f>$B6 * IFERROR(VLOOKUP("industry|PM25|Asthma symptoms cough", US_national_yearly!$D:$AM, 31, FALSE) / VLOOKUP("industry|PM25|Asthma symptoms cough", US_national_yearly!$D:$AM, 10, FALSE), 1)</f>
        <v>0.12179661599576787</v>
      </c>
      <c r="X6" s="7">
        <f>$B6 * IFERROR(VLOOKUP("industry|PM25|Asthma symptoms cough", US_national_yearly!$D:$AM, 32, FALSE) / VLOOKUP("industry|PM25|Asthma symptoms cough", US_national_yearly!$D:$AM, 10, FALSE), 1)</f>
        <v>0.12179661599576787</v>
      </c>
      <c r="Y6" s="7">
        <f>$B6 * IFERROR(VLOOKUP("industry|PM25|Asthma symptoms cough", US_national_yearly!$D:$AM, 33, FALSE) / VLOOKUP("industry|PM25|Asthma symptoms cough", US_national_yearly!$D:$AM, 10, FALSE), 1)</f>
        <v>0.12179661599576787</v>
      </c>
      <c r="Z6" s="7">
        <f>$B6 * IFERROR(VLOOKUP("industry|PM25|Asthma symptoms cough", US_national_yearly!$D:$AM, 34, FALSE) / VLOOKUP("industry|PM25|Asthma symptoms cough", US_national_yearly!$D:$AM, 10, FALSE), 1)</f>
        <v>0.12179661599576787</v>
      </c>
      <c r="AA6" s="7">
        <f>$B6 * IFERROR(VLOOKUP("industry|PM25|Asthma symptoms cough", US_national_yearly!$D:$AM, 35, FALSE) / VLOOKUP("industry|PM25|Asthma symptoms cough", US_national_yearly!$D:$AM, 10, FALSE), 1)</f>
        <v>0.12179661599576787</v>
      </c>
      <c r="AB6" s="7">
        <f>$B6 * IFERROR(VLOOKUP("industry|PM25|Asthma symptoms cough", US_national_yearly!$D:$AM, 36, FALSE) / VLOOKUP("industry|PM25|Asthma symptoms cough", US_national_yearly!$D:$AM, 10, FALSE), 1)</f>
        <v>0.12179661599576787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0.16399507060115701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0.16399507060115701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0.16399507060115701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0.16399507060115701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0.16399507060115701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0.16399507060115701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0.16399507060115701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0.16399507060115701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0.16399507060115701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0.16399507060115701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0.16399507060115701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0.16399507060115701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0.16399507060115701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0.16399507060115701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0.16399507060115701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0.16399507060115701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0.16399507060115701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0.16399507060115701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0.16399507060115701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0.16399507060115701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0.16399507060115701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0.16399507060115701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0.16399507060115701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0.16399507060115701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0.16399507060115701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0.16399507060115701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0.16399507060115701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0.25063409484507237</v>
      </c>
      <c r="C8" s="7">
        <f>$B8 * IFERROR(VLOOKUP("industry|PM25|Asthma symptoms wheeze", US_national_yearly!$D:$AM, 11, FALSE) / VLOOKUP("industry|PM25|Asthma symptoms wheeze", US_national_yearly!$D:$AM, 10, FALSE), 1)</f>
        <v>0.25063409484507237</v>
      </c>
      <c r="D8" s="7">
        <f>$B8 * IFERROR(VLOOKUP("industry|PM25|Asthma symptoms wheeze", US_national_yearly!$D:$AM, 12, FALSE) / VLOOKUP("industry|PM25|Asthma symptoms wheeze", US_national_yearly!$D:$AM, 10, FALSE), 1)</f>
        <v>0.25063409484507237</v>
      </c>
      <c r="E8" s="7">
        <f>$B8 * IFERROR(VLOOKUP("industry|PM25|Asthma symptoms wheeze", US_national_yearly!$D:$AM, 13, FALSE) / VLOOKUP("industry|PM25|Asthma symptoms wheeze", US_national_yearly!$D:$AM, 10, FALSE), 1)</f>
        <v>0.25063409484507237</v>
      </c>
      <c r="F8" s="7">
        <f>$B8 * IFERROR(VLOOKUP("industry|PM25|Asthma symptoms wheeze", US_national_yearly!$D:$AM, 14, FALSE) / VLOOKUP("industry|PM25|Asthma symptoms wheeze", US_national_yearly!$D:$AM, 10, FALSE), 1)</f>
        <v>0.25063409484507237</v>
      </c>
      <c r="G8" s="7">
        <f>$B8 * IFERROR(VLOOKUP("industry|PM25|Asthma symptoms wheeze", US_national_yearly!$D:$AM, 15, FALSE) / VLOOKUP("industry|PM25|Asthma symptoms wheeze", US_national_yearly!$D:$AM, 10, FALSE), 1)</f>
        <v>0.25063409484507237</v>
      </c>
      <c r="H8" s="7">
        <f>$B8 * IFERROR(VLOOKUP("industry|PM25|Asthma symptoms wheeze", US_national_yearly!$D:$AM, 16, FALSE) / VLOOKUP("industry|PM25|Asthma symptoms wheeze", US_national_yearly!$D:$AM, 10, FALSE), 1)</f>
        <v>0.25063409484507237</v>
      </c>
      <c r="I8" s="7">
        <f>$B8 * IFERROR(VLOOKUP("industry|PM25|Asthma symptoms wheeze", US_national_yearly!$D:$AM, 17, FALSE) / VLOOKUP("industry|PM25|Asthma symptoms wheeze", US_national_yearly!$D:$AM, 10, FALSE), 1)</f>
        <v>0.25063409484507237</v>
      </c>
      <c r="J8" s="7">
        <f>$B8 * IFERROR(VLOOKUP("industry|PM25|Asthma symptoms wheeze", US_national_yearly!$D:$AM, 18, FALSE) / VLOOKUP("industry|PM25|Asthma symptoms wheeze", US_national_yearly!$D:$AM, 10, FALSE), 1)</f>
        <v>0.25063409484507237</v>
      </c>
      <c r="K8" s="7">
        <f>$B8 * IFERROR(VLOOKUP("industry|PM25|Asthma symptoms wheeze", US_national_yearly!$D:$AM, 19, FALSE) / VLOOKUP("industry|PM25|Asthma symptoms wheeze", US_national_yearly!$D:$AM, 10, FALSE), 1)</f>
        <v>0.25063409484507237</v>
      </c>
      <c r="L8" s="7">
        <f>$B8 * IFERROR(VLOOKUP("industry|PM25|Asthma symptoms wheeze", US_national_yearly!$D:$AM, 20, FALSE) / VLOOKUP("industry|PM25|Asthma symptoms wheeze", US_national_yearly!$D:$AM, 10, FALSE), 1)</f>
        <v>0.25063409484507237</v>
      </c>
      <c r="M8" s="7">
        <f>$B8 * IFERROR(VLOOKUP("industry|PM25|Asthma symptoms wheeze", US_national_yearly!$D:$AM, 21, FALSE) / VLOOKUP("industry|PM25|Asthma symptoms wheeze", US_national_yearly!$D:$AM, 10, FALSE), 1)</f>
        <v>0.25063409484507237</v>
      </c>
      <c r="N8" s="7">
        <f>$B8 * IFERROR(VLOOKUP("industry|PM25|Asthma symptoms wheeze", US_national_yearly!$D:$AM, 22, FALSE) / VLOOKUP("industry|PM25|Asthma symptoms wheeze", US_national_yearly!$D:$AM, 10, FALSE), 1)</f>
        <v>0.25063409484507237</v>
      </c>
      <c r="O8" s="7">
        <f>$B8 * IFERROR(VLOOKUP("industry|PM25|Asthma symptoms wheeze", US_national_yearly!$D:$AM, 23, FALSE) / VLOOKUP("industry|PM25|Asthma symptoms wheeze", US_national_yearly!$D:$AM, 10, FALSE), 1)</f>
        <v>0.25063409484507237</v>
      </c>
      <c r="P8" s="7">
        <f>$B8 * IFERROR(VLOOKUP("industry|PM25|Asthma symptoms wheeze", US_national_yearly!$D:$AM, 24, FALSE) / VLOOKUP("industry|PM25|Asthma symptoms wheeze", US_national_yearly!$D:$AM, 10, FALSE), 1)</f>
        <v>0.25063409484507237</v>
      </c>
      <c r="Q8" s="7">
        <f>$B8 * IFERROR(VLOOKUP("industry|PM25|Asthma symptoms wheeze", US_national_yearly!$D:$AM, 25, FALSE) / VLOOKUP("industry|PM25|Asthma symptoms wheeze", US_national_yearly!$D:$AM, 10, FALSE), 1)</f>
        <v>0.25063409484507237</v>
      </c>
      <c r="R8" s="7">
        <f>$B8 * IFERROR(VLOOKUP("industry|PM25|Asthma symptoms wheeze", US_national_yearly!$D:$AM, 26, FALSE) / VLOOKUP("industry|PM25|Asthma symptoms wheeze", US_national_yearly!$D:$AM, 10, FALSE), 1)</f>
        <v>0.25063409484507237</v>
      </c>
      <c r="S8" s="7">
        <f>$B8 * IFERROR(VLOOKUP("industry|PM25|Asthma symptoms wheeze", US_national_yearly!$D:$AM, 27, FALSE) / VLOOKUP("industry|PM25|Asthma symptoms wheeze", US_national_yearly!$D:$AM, 10, FALSE), 1)</f>
        <v>0.25063409484507237</v>
      </c>
      <c r="T8" s="7">
        <f>$B8 * IFERROR(VLOOKUP("industry|PM25|Asthma symptoms wheeze", US_national_yearly!$D:$AM, 28, FALSE) / VLOOKUP("industry|PM25|Asthma symptoms wheeze", US_national_yearly!$D:$AM, 10, FALSE), 1)</f>
        <v>0.25063409484507237</v>
      </c>
      <c r="U8" s="7">
        <f>$B8 * IFERROR(VLOOKUP("industry|PM25|Asthma symptoms wheeze", US_national_yearly!$D:$AM, 29, FALSE) / VLOOKUP("industry|PM25|Asthma symptoms wheeze", US_national_yearly!$D:$AM, 10, FALSE), 1)</f>
        <v>0.25063409484507237</v>
      </c>
      <c r="V8" s="7">
        <f>$B8 * IFERROR(VLOOKUP("industry|PM25|Asthma symptoms wheeze", US_national_yearly!$D:$AM, 30, FALSE) / VLOOKUP("industry|PM25|Asthma symptoms wheeze", US_national_yearly!$D:$AM, 10, FALSE), 1)</f>
        <v>0.25063409484507237</v>
      </c>
      <c r="W8" s="7">
        <f>$B8 * IFERROR(VLOOKUP("industry|PM25|Asthma symptoms wheeze", US_national_yearly!$D:$AM, 31, FALSE) / VLOOKUP("industry|PM25|Asthma symptoms wheeze", US_national_yearly!$D:$AM, 10, FALSE), 1)</f>
        <v>0.25063409484507237</v>
      </c>
      <c r="X8" s="7">
        <f>$B8 * IFERROR(VLOOKUP("industry|PM25|Asthma symptoms wheeze", US_national_yearly!$D:$AM, 32, FALSE) / VLOOKUP("industry|PM25|Asthma symptoms wheeze", US_national_yearly!$D:$AM, 10, FALSE), 1)</f>
        <v>0.25063409484507237</v>
      </c>
      <c r="Y8" s="7">
        <f>$B8 * IFERROR(VLOOKUP("industry|PM25|Asthma symptoms wheeze", US_national_yearly!$D:$AM, 33, FALSE) / VLOOKUP("industry|PM25|Asthma symptoms wheeze", US_national_yearly!$D:$AM, 10, FALSE), 1)</f>
        <v>0.25063409484507237</v>
      </c>
      <c r="Z8" s="7">
        <f>$B8 * IFERROR(VLOOKUP("industry|PM25|Asthma symptoms wheeze", US_national_yearly!$D:$AM, 34, FALSE) / VLOOKUP("industry|PM25|Asthma symptoms wheeze", US_national_yearly!$D:$AM, 10, FALSE), 1)</f>
        <v>0.25063409484507237</v>
      </c>
      <c r="AA8" s="7">
        <f>$B8 * IFERROR(VLOOKUP("industry|PM25|Asthma symptoms wheeze", US_national_yearly!$D:$AM, 35, FALSE) / VLOOKUP("industry|PM25|Asthma symptoms wheeze", US_national_yearly!$D:$AM, 10, FALSE), 1)</f>
        <v>0.25063409484507237</v>
      </c>
      <c r="AB8" s="7">
        <f>$B8 * IFERROR(VLOOKUP("industry|PM25|Asthma symptoms wheeze", US_national_yearly!$D:$AM, 36, FALSE) / VLOOKUP("industry|PM25|Asthma symptoms wheeze", US_national_yearly!$D:$AM, 10, FALSE), 1)</f>
        <v>0.25063409484507237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2.3607574415078526E-3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2.3741607921644761E-3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2.3875641428210996E-3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2.400967493477723E-3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2.4143708441343474E-3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2.4288623943578042E-3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2.4433539445812614E-3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2.457101003098699E-3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2.4708480616161366E-3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2.4845951201335737E-3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2.4983421786510113E-3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2.5120892371684488E-3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2.5218121465700001E-3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2.5315350559715504E-3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2.5412579653731017E-3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2.550980874774652E-3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2.5607037841762033E-3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2.5698742067271916E-3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2.5790446292781799E-3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2.588215051829169E-3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2.5973854743801573E-3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2.6065558969311465E-3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2.6153856805944628E-3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2.624215464257779E-3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2.6330452479210961E-3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2.6418750315844127E-3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2.650704815247729E-3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1.4626091789397199E-2</v>
      </c>
      <c r="C13" s="7">
        <f>$B13 * IFERROR(VLOOKUP("industry|PM25|Non-fatal heart attacks", US_national_yearly!$D:$AM, 11, FALSE) / VLOOKUP("industry|PM25|Non-fatal heart attacks", US_national_yearly!$D:$AM, 10, FALSE), 1)</f>
        <v>1.5051861156434292E-2</v>
      </c>
      <c r="D13" s="7">
        <f>$B13 * IFERROR(VLOOKUP("industry|PM25|Non-fatal heart attacks", US_national_yearly!$D:$AM, 12, FALSE) / VLOOKUP("industry|PM25|Non-fatal heart attacks", US_national_yearly!$D:$AM, 10, FALSE), 1)</f>
        <v>1.5477630523471383E-2</v>
      </c>
      <c r="E13" s="7">
        <f>$B13 * IFERROR(VLOOKUP("industry|PM25|Non-fatal heart attacks", US_national_yearly!$D:$AM, 13, FALSE) / VLOOKUP("industry|PM25|Non-fatal heart attacks", US_national_yearly!$D:$AM, 10, FALSE), 1)</f>
        <v>1.5903399890508475E-2</v>
      </c>
      <c r="F13" s="7">
        <f>$B13 * IFERROR(VLOOKUP("industry|PM25|Non-fatal heart attacks", US_national_yearly!$D:$AM, 14, FALSE) / VLOOKUP("industry|PM25|Non-fatal heart attacks", US_national_yearly!$D:$AM, 10, FALSE), 1)</f>
        <v>1.6329169257545569E-2</v>
      </c>
      <c r="G13" s="7">
        <f>$B13 * IFERROR(VLOOKUP("industry|PM25|Non-fatal heart attacks", US_national_yearly!$D:$AM, 15, FALSE) / VLOOKUP("industry|PM25|Non-fatal heart attacks", US_national_yearly!$D:$AM, 10, FALSE), 1)</f>
        <v>1.673112547724729E-2</v>
      </c>
      <c r="H13" s="7">
        <f>$B13 * IFERROR(VLOOKUP("industry|PM25|Non-fatal heart attacks", US_national_yearly!$D:$AM, 16, FALSE) / VLOOKUP("industry|PM25|Non-fatal heart attacks", US_national_yearly!$D:$AM, 10, FALSE), 1)</f>
        <v>1.7133081696949014E-2</v>
      </c>
      <c r="I13" s="7">
        <f>$B13 * IFERROR(VLOOKUP("industry|PM25|Non-fatal heart attacks", US_national_yearly!$D:$AM, 17, FALSE) / VLOOKUP("industry|PM25|Non-fatal heart attacks", US_national_yearly!$D:$AM, 10, FALSE), 1)</f>
        <v>1.7457665056517243E-2</v>
      </c>
      <c r="J13" s="7">
        <f>$B13 * IFERROR(VLOOKUP("industry|PM25|Non-fatal heart attacks", US_national_yearly!$D:$AM, 18, FALSE) / VLOOKUP("industry|PM25|Non-fatal heart attacks", US_national_yearly!$D:$AM, 10, FALSE), 1)</f>
        <v>1.7782248416085465E-2</v>
      </c>
      <c r="K13" s="7">
        <f>$B13 * IFERROR(VLOOKUP("industry|PM25|Non-fatal heart attacks", US_national_yearly!$D:$AM, 19, FALSE) / VLOOKUP("industry|PM25|Non-fatal heart attacks", US_national_yearly!$D:$AM, 10, FALSE), 1)</f>
        <v>1.8106831775653691E-2</v>
      </c>
      <c r="L13" s="7">
        <f>$B13 * IFERROR(VLOOKUP("industry|PM25|Non-fatal heart attacks", US_national_yearly!$D:$AM, 20, FALSE) / VLOOKUP("industry|PM25|Non-fatal heart attacks", US_national_yearly!$D:$AM, 10, FALSE), 1)</f>
        <v>1.8431415135221917E-2</v>
      </c>
      <c r="M13" s="7">
        <f>$B13 * IFERROR(VLOOKUP("industry|PM25|Non-fatal heart attacks", US_national_yearly!$D:$AM, 21, FALSE) / VLOOKUP("industry|PM25|Non-fatal heart attacks", US_national_yearly!$D:$AM, 10, FALSE), 1)</f>
        <v>1.8755998494790139E-2</v>
      </c>
      <c r="N13" s="7">
        <f>$B13 * IFERROR(VLOOKUP("industry|PM25|Non-fatal heart attacks", US_national_yearly!$D:$AM, 22, FALSE) / VLOOKUP("industry|PM25|Non-fatal heart attacks", US_national_yearly!$D:$AM, 10, FALSE), 1)</f>
        <v>1.896585971309887E-2</v>
      </c>
      <c r="O13" s="7">
        <f>$B13 * IFERROR(VLOOKUP("industry|PM25|Non-fatal heart attacks", US_national_yearly!$D:$AM, 23, FALSE) / VLOOKUP("industry|PM25|Non-fatal heart attacks", US_national_yearly!$D:$AM, 10, FALSE), 1)</f>
        <v>1.9175720931407597E-2</v>
      </c>
      <c r="P13" s="7">
        <f>$B13 * IFERROR(VLOOKUP("industry|PM25|Non-fatal heart attacks", US_national_yearly!$D:$AM, 24, FALSE) / VLOOKUP("industry|PM25|Non-fatal heart attacks", US_national_yearly!$D:$AM, 10, FALSE), 1)</f>
        <v>1.9385582149716328E-2</v>
      </c>
      <c r="Q13" s="7">
        <f>$B13 * IFERROR(VLOOKUP("industry|PM25|Non-fatal heart attacks", US_national_yearly!$D:$AM, 25, FALSE) / VLOOKUP("industry|PM25|Non-fatal heart attacks", US_national_yearly!$D:$AM, 10, FALSE), 1)</f>
        <v>1.9595443368025052E-2</v>
      </c>
      <c r="R13" s="7">
        <f>$B13 * IFERROR(VLOOKUP("industry|PM25|Non-fatal heart attacks", US_national_yearly!$D:$AM, 26, FALSE) / VLOOKUP("industry|PM25|Non-fatal heart attacks", US_national_yearly!$D:$AM, 10, FALSE), 1)</f>
        <v>1.9805304586333779E-2</v>
      </c>
      <c r="S13" s="7">
        <f>$B13 * IFERROR(VLOOKUP("industry|PM25|Non-fatal heart attacks", US_national_yearly!$D:$AM, 27, FALSE) / VLOOKUP("industry|PM25|Non-fatal heart attacks", US_national_yearly!$D:$AM, 10, FALSE), 1)</f>
        <v>1.9917392258332885E-2</v>
      </c>
      <c r="T13" s="7">
        <f>$B13 * IFERROR(VLOOKUP("industry|PM25|Non-fatal heart attacks", US_national_yearly!$D:$AM, 28, FALSE) / VLOOKUP("industry|PM25|Non-fatal heart attacks", US_national_yearly!$D:$AM, 10, FALSE), 1)</f>
        <v>2.0029479930331995E-2</v>
      </c>
      <c r="U13" s="7">
        <f>$B13 * IFERROR(VLOOKUP("industry|PM25|Non-fatal heart attacks", US_national_yearly!$D:$AM, 29, FALSE) / VLOOKUP("industry|PM25|Non-fatal heart attacks", US_national_yearly!$D:$AM, 10, FALSE), 1)</f>
        <v>2.0141567602331104E-2</v>
      </c>
      <c r="V13" s="7">
        <f>$B13 * IFERROR(VLOOKUP("industry|PM25|Non-fatal heart attacks", US_national_yearly!$D:$AM, 30, FALSE) / VLOOKUP("industry|PM25|Non-fatal heart attacks", US_national_yearly!$D:$AM, 10, FALSE), 1)</f>
        <v>2.0253655274330207E-2</v>
      </c>
      <c r="W13" s="7">
        <f>$B13 * IFERROR(VLOOKUP("industry|PM25|Non-fatal heart attacks", US_national_yearly!$D:$AM, 31, FALSE) / VLOOKUP("industry|PM25|Non-fatal heart attacks", US_national_yearly!$D:$AM, 10, FALSE), 1)</f>
        <v>2.036574294632932E-2</v>
      </c>
      <c r="X13" s="7">
        <f>$B13 * IFERROR(VLOOKUP("industry|PM25|Non-fatal heart attacks", US_national_yearly!$D:$AM, 32, FALSE) / VLOOKUP("industry|PM25|Non-fatal heart attacks", US_national_yearly!$D:$AM, 10, FALSE), 1)</f>
        <v>2.0452251488255326E-2</v>
      </c>
      <c r="Y13" s="7">
        <f>$B13 * IFERROR(VLOOKUP("industry|PM25|Non-fatal heart attacks", US_national_yearly!$D:$AM, 33, FALSE) / VLOOKUP("industry|PM25|Non-fatal heart attacks", US_national_yearly!$D:$AM, 10, FALSE), 1)</f>
        <v>2.0538760030181329E-2</v>
      </c>
      <c r="Z13" s="7">
        <f>$B13 * IFERROR(VLOOKUP("industry|PM25|Non-fatal heart attacks", US_national_yearly!$D:$AM, 34, FALSE) / VLOOKUP("industry|PM25|Non-fatal heart attacks", US_national_yearly!$D:$AM, 10, FALSE), 1)</f>
        <v>2.0625268572107332E-2</v>
      </c>
      <c r="AA13" s="7">
        <f>$B13 * IFERROR(VLOOKUP("industry|PM25|Non-fatal heart attacks", US_national_yearly!$D:$AM, 35, FALSE) / VLOOKUP("industry|PM25|Non-fatal heart attacks", US_national_yearly!$D:$AM, 10, FALSE), 1)</f>
        <v>2.0711777114033339E-2</v>
      </c>
      <c r="AB13" s="7">
        <f>$B13 * IFERROR(VLOOKUP("industry|PM25|Non-fatal heart attacks", US_national_yearly!$D:$AM, 36, FALSE) / VLOOKUP("industry|PM25|Non-fatal heart attacks", US_national_yearly!$D:$AM, 10, FALSE), 1)</f>
        <v>2.0798285655959346E-2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13.787824256048046</v>
      </c>
      <c r="C14" s="7">
        <f>$B14 * IFERROR(VLOOKUP("industry|PM25|Minor restricted activity days", US_national_yearly!$D:$AM, 11, FALSE) / VLOOKUP("industry|PM25|Minor restricted activity days", US_national_yearly!$D:$AM, 10, FALSE), 1)</f>
        <v>13.82159292306271</v>
      </c>
      <c r="D14" s="7">
        <f>$B14 * IFERROR(VLOOKUP("industry|PM25|Minor restricted activity days", US_national_yearly!$D:$AM, 12, FALSE) / VLOOKUP("industry|PM25|Minor restricted activity days", US_national_yearly!$D:$AM, 10, FALSE), 1)</f>
        <v>13.855361590077377</v>
      </c>
      <c r="E14" s="7">
        <f>$B14 * IFERROR(VLOOKUP("industry|PM25|Minor restricted activity days", US_national_yearly!$D:$AM, 13, FALSE) / VLOOKUP("industry|PM25|Minor restricted activity days", US_national_yearly!$D:$AM, 10, FALSE), 1)</f>
        <v>13.889130257092042</v>
      </c>
      <c r="F14" s="7">
        <f>$B14 * IFERROR(VLOOKUP("industry|PM25|Minor restricted activity days", US_national_yearly!$D:$AM, 14, FALSE) / VLOOKUP("industry|PM25|Minor restricted activity days", US_national_yearly!$D:$AM, 10, FALSE), 1)</f>
        <v>13.922898924106706</v>
      </c>
      <c r="G14" s="7">
        <f>$B14 * IFERROR(VLOOKUP("industry|PM25|Minor restricted activity days", US_national_yearly!$D:$AM, 15, FALSE) / VLOOKUP("industry|PM25|Minor restricted activity days", US_national_yearly!$D:$AM, 10, FALSE), 1)</f>
        <v>13.972465838907736</v>
      </c>
      <c r="H14" s="7">
        <f>$B14 * IFERROR(VLOOKUP("industry|PM25|Minor restricted activity days", US_national_yearly!$D:$AM, 16, FALSE) / VLOOKUP("industry|PM25|Minor restricted activity days", US_national_yearly!$D:$AM, 10, FALSE), 1)</f>
        <v>14.022032753708762</v>
      </c>
      <c r="I14" s="7">
        <f>$B14 * IFERROR(VLOOKUP("industry|PM25|Minor restricted activity days", US_national_yearly!$D:$AM, 17, FALSE) / VLOOKUP("industry|PM25|Minor restricted activity days", US_national_yearly!$D:$AM, 10, FALSE), 1)</f>
        <v>14.106234196943181</v>
      </c>
      <c r="J14" s="7">
        <f>$B14 * IFERROR(VLOOKUP("industry|PM25|Minor restricted activity days", US_national_yearly!$D:$AM, 18, FALSE) / VLOOKUP("industry|PM25|Minor restricted activity days", US_national_yearly!$D:$AM, 10, FALSE), 1)</f>
        <v>14.190435640177601</v>
      </c>
      <c r="K14" s="7">
        <f>$B14 * IFERROR(VLOOKUP("industry|PM25|Minor restricted activity days", US_national_yearly!$D:$AM, 19, FALSE) / VLOOKUP("industry|PM25|Minor restricted activity days", US_national_yearly!$D:$AM, 10, FALSE), 1)</f>
        <v>14.274637083412015</v>
      </c>
      <c r="L14" s="7">
        <f>$B14 * IFERROR(VLOOKUP("industry|PM25|Minor restricted activity days", US_national_yearly!$D:$AM, 20, FALSE) / VLOOKUP("industry|PM25|Minor restricted activity days", US_national_yearly!$D:$AM, 10, FALSE), 1)</f>
        <v>14.358838526646434</v>
      </c>
      <c r="M14" s="7">
        <f>$B14 * IFERROR(VLOOKUP("industry|PM25|Minor restricted activity days", US_national_yearly!$D:$AM, 21, FALSE) / VLOOKUP("industry|PM25|Minor restricted activity days", US_national_yearly!$D:$AM, 10, FALSE), 1)</f>
        <v>14.44303996988085</v>
      </c>
      <c r="N14" s="7">
        <f>$B14 * IFERROR(VLOOKUP("industry|PM25|Minor restricted activity days", US_national_yearly!$D:$AM, 22, FALSE) / VLOOKUP("industry|PM25|Minor restricted activity days", US_national_yearly!$D:$AM, 10, FALSE), 1)</f>
        <v>14.558067455467892</v>
      </c>
      <c r="O14" s="7">
        <f>$B14 * IFERROR(VLOOKUP("industry|PM25|Minor restricted activity days", US_national_yearly!$D:$AM, 23, FALSE) / VLOOKUP("industry|PM25|Minor restricted activity days", US_national_yearly!$D:$AM, 10, FALSE), 1)</f>
        <v>14.673094941054945</v>
      </c>
      <c r="P14" s="7">
        <f>$B14 * IFERROR(VLOOKUP("industry|PM25|Minor restricted activity days", US_national_yearly!$D:$AM, 24, FALSE) / VLOOKUP("industry|PM25|Minor restricted activity days", US_national_yearly!$D:$AM, 10, FALSE), 1)</f>
        <v>14.788122426641987</v>
      </c>
      <c r="Q14" s="7">
        <f>$B14 * IFERROR(VLOOKUP("industry|PM25|Minor restricted activity days", US_national_yearly!$D:$AM, 25, FALSE) / VLOOKUP("industry|PM25|Minor restricted activity days", US_national_yearly!$D:$AM, 10, FALSE), 1)</f>
        <v>14.903149912229043</v>
      </c>
      <c r="R14" s="7">
        <f>$B14 * IFERROR(VLOOKUP("industry|PM25|Minor restricted activity days", US_national_yearly!$D:$AM, 26, FALSE) / VLOOKUP("industry|PM25|Minor restricted activity days", US_national_yearly!$D:$AM, 10, FALSE), 1)</f>
        <v>15.018177397816084</v>
      </c>
      <c r="S14" s="7">
        <f>$B14 * IFERROR(VLOOKUP("industry|PM25|Minor restricted activity days", US_national_yearly!$D:$AM, 27, FALSE) / VLOOKUP("industry|PM25|Minor restricted activity days", US_national_yearly!$D:$AM, 10, FALSE), 1)</f>
        <v>15.134309192251669</v>
      </c>
      <c r="T14" s="7">
        <f>$B14 * IFERROR(VLOOKUP("industry|PM25|Minor restricted activity days", US_national_yearly!$D:$AM, 28, FALSE) / VLOOKUP("industry|PM25|Minor restricted activity days", US_national_yearly!$D:$AM, 10, FALSE), 1)</f>
        <v>15.250440986687257</v>
      </c>
      <c r="U14" s="7">
        <f>$B14 * IFERROR(VLOOKUP("industry|PM25|Minor restricted activity days", US_national_yearly!$D:$AM, 29, FALSE) / VLOOKUP("industry|PM25|Minor restricted activity days", US_national_yearly!$D:$AM, 10, FALSE), 1)</f>
        <v>15.366572781122843</v>
      </c>
      <c r="V14" s="7">
        <f>$B14 * IFERROR(VLOOKUP("industry|PM25|Minor restricted activity days", US_national_yearly!$D:$AM, 30, FALSE) / VLOOKUP("industry|PM25|Minor restricted activity days", US_national_yearly!$D:$AM, 10, FALSE), 1)</f>
        <v>15.482704575558428</v>
      </c>
      <c r="W14" s="7">
        <f>$B14 * IFERROR(VLOOKUP("industry|PM25|Minor restricted activity days", US_national_yearly!$D:$AM, 31, FALSE) / VLOOKUP("industry|PM25|Minor restricted activity days", US_national_yearly!$D:$AM, 10, FALSE), 1)</f>
        <v>15.598836369994014</v>
      </c>
      <c r="X14" s="7">
        <f>$B14 * IFERROR(VLOOKUP("industry|PM25|Minor restricted activity days", US_national_yearly!$D:$AM, 32, FALSE) / VLOOKUP("industry|PM25|Minor restricted activity days", US_national_yearly!$D:$AM, 10, FALSE), 1)</f>
        <v>15.699750646266242</v>
      </c>
      <c r="Y14" s="7">
        <f>$B14 * IFERROR(VLOOKUP("industry|PM25|Minor restricted activity days", US_national_yearly!$D:$AM, 33, FALSE) / VLOOKUP("industry|PM25|Minor restricted activity days", US_national_yearly!$D:$AM, 10, FALSE), 1)</f>
        <v>15.800664922538473</v>
      </c>
      <c r="Z14" s="7">
        <f>$B14 * IFERROR(VLOOKUP("industry|PM25|Minor restricted activity days", US_national_yearly!$D:$AM, 34, FALSE) / VLOOKUP("industry|PM25|Minor restricted activity days", US_national_yearly!$D:$AM, 10, FALSE), 1)</f>
        <v>15.901579198810705</v>
      </c>
      <c r="AA14" s="7">
        <f>$B14 * IFERROR(VLOOKUP("industry|PM25|Minor restricted activity days", US_national_yearly!$D:$AM, 35, FALSE) / VLOOKUP("industry|PM25|Minor restricted activity days", US_national_yearly!$D:$AM, 10, FALSE), 1)</f>
        <v>16.002493475082936</v>
      </c>
      <c r="AB14" s="7">
        <f>$B14 * IFERROR(VLOOKUP("industry|PM25|Minor restricted activity days", US_national_yearly!$D:$AM, 36, FALSE) / VLOOKUP("industry|PM25|Minor restricted activity days", US_national_yearly!$D:$AM, 10, FALSE), 1)</f>
        <v>16.103407751355167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2.3535338564170059</v>
      </c>
      <c r="C15" s="7">
        <f>$B15 * IFERROR(VLOOKUP("industry|PM25|Work loss days", US_national_yearly!$D:$AM, 11, FALSE) / VLOOKUP("industry|PM25|Work loss days", US_national_yearly!$D:$AM, 10, FALSE), 1)</f>
        <v>2.360830756314602</v>
      </c>
      <c r="D15" s="7">
        <f>$B15 * IFERROR(VLOOKUP("industry|PM25|Work loss days", US_national_yearly!$D:$AM, 12, FALSE) / VLOOKUP("industry|PM25|Work loss days", US_national_yearly!$D:$AM, 10, FALSE), 1)</f>
        <v>2.3681276562121987</v>
      </c>
      <c r="E15" s="7">
        <f>$B15 * IFERROR(VLOOKUP("industry|PM25|Work loss days", US_national_yearly!$D:$AM, 13, FALSE) / VLOOKUP("industry|PM25|Work loss days", US_national_yearly!$D:$AM, 10, FALSE), 1)</f>
        <v>2.3754245561097944</v>
      </c>
      <c r="F15" s="7">
        <f>$B15 * IFERROR(VLOOKUP("industry|PM25|Work loss days", US_national_yearly!$D:$AM, 14, FALSE) / VLOOKUP("industry|PM25|Work loss days", US_national_yearly!$D:$AM, 10, FALSE), 1)</f>
        <v>2.3827214560073906</v>
      </c>
      <c r="G15" s="7">
        <f>$B15 * IFERROR(VLOOKUP("industry|PM25|Work loss days", US_national_yearly!$D:$AM, 15, FALSE) / VLOOKUP("industry|PM25|Work loss days", US_national_yearly!$D:$AM, 10, FALSE), 1)</f>
        <v>2.3922478783173107</v>
      </c>
      <c r="H15" s="7">
        <f>$B15 * IFERROR(VLOOKUP("industry|PM25|Work loss days", US_national_yearly!$D:$AM, 16, FALSE) / VLOOKUP("industry|PM25|Work loss days", US_national_yearly!$D:$AM, 10, FALSE), 1)</f>
        <v>2.4017743006272303</v>
      </c>
      <c r="I15" s="7">
        <f>$B15 * IFERROR(VLOOKUP("industry|PM25|Work loss days", US_national_yearly!$D:$AM, 17, FALSE) / VLOOKUP("industry|PM25|Work loss days", US_national_yearly!$D:$AM, 10, FALSE), 1)</f>
        <v>2.4157240148044816</v>
      </c>
      <c r="J15" s="7">
        <f>$B15 * IFERROR(VLOOKUP("industry|PM25|Work loss days", US_national_yearly!$D:$AM, 18, FALSE) / VLOOKUP("industry|PM25|Work loss days", US_national_yearly!$D:$AM, 10, FALSE), 1)</f>
        <v>2.4296737289817334</v>
      </c>
      <c r="K15" s="7">
        <f>$B15 * IFERROR(VLOOKUP("industry|PM25|Work loss days", US_national_yearly!$D:$AM, 19, FALSE) / VLOOKUP("industry|PM25|Work loss days", US_national_yearly!$D:$AM, 10, FALSE), 1)</f>
        <v>2.4436234431589843</v>
      </c>
      <c r="L15" s="7">
        <f>$B15 * IFERROR(VLOOKUP("industry|PM25|Work loss days", US_national_yearly!$D:$AM, 20, FALSE) / VLOOKUP("industry|PM25|Work loss days", US_national_yearly!$D:$AM, 10, FALSE), 1)</f>
        <v>2.4575731573362356</v>
      </c>
      <c r="M15" s="7">
        <f>$B15 * IFERROR(VLOOKUP("industry|PM25|Work loss days", US_national_yearly!$D:$AM, 21, FALSE) / VLOOKUP("industry|PM25|Work loss days", US_national_yearly!$D:$AM, 10, FALSE), 1)</f>
        <v>2.4715228715134874</v>
      </c>
      <c r="N15" s="7">
        <f>$B15 * IFERROR(VLOOKUP("industry|PM25|Work loss days", US_national_yearly!$D:$AM, 22, FALSE) / VLOOKUP("industry|PM25|Work loss days", US_national_yearly!$D:$AM, 10, FALSE), 1)</f>
        <v>2.4891255797951839</v>
      </c>
      <c r="O15" s="7">
        <f>$B15 * IFERROR(VLOOKUP("industry|PM25|Work loss days", US_national_yearly!$D:$AM, 23, FALSE) / VLOOKUP("industry|PM25|Work loss days", US_national_yearly!$D:$AM, 10, FALSE), 1)</f>
        <v>2.5067282880768804</v>
      </c>
      <c r="P15" s="7">
        <f>$B15 * IFERROR(VLOOKUP("industry|PM25|Work loss days", US_national_yearly!$D:$AM, 24, FALSE) / VLOOKUP("industry|PM25|Work loss days", US_national_yearly!$D:$AM, 10, FALSE), 1)</f>
        <v>2.5243309963585765</v>
      </c>
      <c r="Q15" s="7">
        <f>$B15 * IFERROR(VLOOKUP("industry|PM25|Work loss days", US_national_yearly!$D:$AM, 25, FALSE) / VLOOKUP("industry|PM25|Work loss days", US_national_yearly!$D:$AM, 10, FALSE), 1)</f>
        <v>2.541933704640273</v>
      </c>
      <c r="R15" s="7">
        <f>$B15 * IFERROR(VLOOKUP("industry|PM25|Work loss days", US_national_yearly!$D:$AM, 26, FALSE) / VLOOKUP("industry|PM25|Work loss days", US_national_yearly!$D:$AM, 10, FALSE), 1)</f>
        <v>2.5595364129219691</v>
      </c>
      <c r="S15" s="7">
        <f>$B15 * IFERROR(VLOOKUP("industry|PM25|Work loss days", US_national_yearly!$D:$AM, 27, FALSE) / VLOOKUP("industry|PM25|Work loss days", US_national_yearly!$D:$AM, 10, FALSE), 1)</f>
        <v>2.579055320897254</v>
      </c>
      <c r="T15" s="7">
        <f>$B15 * IFERROR(VLOOKUP("industry|PM25|Work loss days", US_national_yearly!$D:$AM, 28, FALSE) / VLOOKUP("industry|PM25|Work loss days", US_national_yearly!$D:$AM, 10, FALSE), 1)</f>
        <v>2.5985742288725375</v>
      </c>
      <c r="U15" s="7">
        <f>$B15 * IFERROR(VLOOKUP("industry|PM25|Work loss days", US_national_yearly!$D:$AM, 29, FALSE) / VLOOKUP("industry|PM25|Work loss days", US_national_yearly!$D:$AM, 10, FALSE), 1)</f>
        <v>2.6180931368478215</v>
      </c>
      <c r="V15" s="7">
        <f>$B15 * IFERROR(VLOOKUP("industry|PM25|Work loss days", US_national_yearly!$D:$AM, 30, FALSE) / VLOOKUP("industry|PM25|Work loss days", US_national_yearly!$D:$AM, 10, FALSE), 1)</f>
        <v>2.6376120448231055</v>
      </c>
      <c r="W15" s="7">
        <f>$B15 * IFERROR(VLOOKUP("industry|PM25|Work loss days", US_national_yearly!$D:$AM, 31, FALSE) / VLOOKUP("industry|PM25|Work loss days", US_national_yearly!$D:$AM, 10, FALSE), 1)</f>
        <v>2.65713095279839</v>
      </c>
      <c r="X15" s="7">
        <f>$B15 * IFERROR(VLOOKUP("industry|PM25|Work loss days", US_national_yearly!$D:$AM, 32, FALSE) / VLOOKUP("industry|PM25|Work loss days", US_national_yearly!$D:$AM, 10, FALSE), 1)</f>
        <v>2.6744760690763933</v>
      </c>
      <c r="Y15" s="7">
        <f>$B15 * IFERROR(VLOOKUP("industry|PM25|Work loss days", US_national_yearly!$D:$AM, 33, FALSE) / VLOOKUP("industry|PM25|Work loss days", US_national_yearly!$D:$AM, 10, FALSE), 1)</f>
        <v>2.6918211853543972</v>
      </c>
      <c r="Z15" s="7">
        <f>$B15 * IFERROR(VLOOKUP("industry|PM25|Work loss days", US_national_yearly!$D:$AM, 34, FALSE) / VLOOKUP("industry|PM25|Work loss days", US_national_yearly!$D:$AM, 10, FALSE), 1)</f>
        <v>2.709166301632401</v>
      </c>
      <c r="AA15" s="7">
        <f>$B15 * IFERROR(VLOOKUP("industry|PM25|Work loss days", US_national_yearly!$D:$AM, 35, FALSE) / VLOOKUP("industry|PM25|Work loss days", US_national_yearly!$D:$AM, 10, FALSE), 1)</f>
        <v>2.726511417910404</v>
      </c>
      <c r="AB15" s="7">
        <f>$B15 * IFERROR(VLOOKUP("industry|PM25|Work loss days", US_national_yearly!$D:$AM, 36, FALSE) / VLOOKUP("industry|PM25|Work loss days", US_national_yearly!$D:$AM, 10, FALSE), 1)</f>
        <v>2.7438565341884078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3.6209604567998027E-3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3.7292657055346978E-3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3.8375709542695924E-3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3.9458762030044874E-3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4.0541814517393816E-3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4.1579842261487403E-3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4.2617870005580991E-3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4.3509107790806311E-3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4.4400345576031622E-3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4.5291583361256951E-3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4.6182821146482271E-3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4.7074058931707592E-3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4.7669409132336284E-3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4.8264759332964967E-3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4.8860109533593659E-3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4.9455459734222343E-3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5.0050809934851035E-3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5.0369784134783723E-3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5.068875833471642E-3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5.1007732534649117E-3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5.1326706734581805E-3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5.1645680934514493E-3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5.1864718781059983E-3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5.2083756627605456E-3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5.2302794474150937E-3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5.252183232069641E-3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5.27408701672419E-3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4.1516043125801858E-4</v>
      </c>
      <c r="C2" s="7">
        <f>$B2 * IFERROR(VLOOKUP("industry|NOx|Premature mortality", US_national_yearly!$D:$AM, 11, FALSE) / VLOOKUP("industry|NOx|Premature mortality", US_national_yearly!$D:$AM, 10, FALSE), 1)</f>
        <v>4.2129929958435334E-4</v>
      </c>
      <c r="D2" s="7">
        <f>$B2 * IFERROR(VLOOKUP("industry|NOx|Premature mortality", US_national_yearly!$D:$AM, 12, FALSE) / VLOOKUP("industry|NOx|Premature mortality", US_national_yearly!$D:$AM, 10, FALSE), 1)</f>
        <v>4.2743816791068821E-4</v>
      </c>
      <c r="E2" s="7">
        <f>$B2 * IFERROR(VLOOKUP("industry|NOx|Premature mortality", US_national_yearly!$D:$AM, 13, FALSE) / VLOOKUP("industry|NOx|Premature mortality", US_national_yearly!$D:$AM, 10, FALSE), 1)</f>
        <v>4.3357703623702297E-4</v>
      </c>
      <c r="F2" s="7">
        <f>$B2 * IFERROR(VLOOKUP("industry|NOx|Premature mortality", US_national_yearly!$D:$AM, 14, FALSE) / VLOOKUP("industry|NOx|Premature mortality", US_national_yearly!$D:$AM, 10, FALSE), 1)</f>
        <v>4.3971590456335784E-4</v>
      </c>
      <c r="G2" s="7">
        <f>$B2 * IFERROR(VLOOKUP("industry|NOx|Premature mortality", US_national_yearly!$D:$AM, 15, FALSE) / VLOOKUP("industry|NOx|Premature mortality", US_national_yearly!$D:$AM, 10, FALSE), 1)</f>
        <v>4.5072519437117851E-4</v>
      </c>
      <c r="H2" s="7">
        <f>$B2 * IFERROR(VLOOKUP("industry|NOx|Premature mortality", US_national_yearly!$D:$AM, 16, FALSE) / VLOOKUP("industry|NOx|Premature mortality", US_national_yearly!$D:$AM, 10, FALSE), 1)</f>
        <v>4.6173448417899919E-4</v>
      </c>
      <c r="I2" s="7">
        <f>$B2 * IFERROR(VLOOKUP("industry|NOx|Premature mortality", US_national_yearly!$D:$AM, 17, FALSE) / VLOOKUP("industry|NOx|Premature mortality", US_national_yearly!$D:$AM, 10, FALSE), 1)</f>
        <v>4.6887658092317628E-4</v>
      </c>
      <c r="J2" s="7">
        <f>$B2 * IFERROR(VLOOKUP("industry|NOx|Premature mortality", US_national_yearly!$D:$AM, 18, FALSE) / VLOOKUP("industry|NOx|Premature mortality", US_national_yearly!$D:$AM, 10, FALSE), 1)</f>
        <v>4.7601867766735331E-4</v>
      </c>
      <c r="K2" s="7">
        <f>$B2 * IFERROR(VLOOKUP("industry|NOx|Premature mortality", US_national_yearly!$D:$AM, 19, FALSE) / VLOOKUP("industry|NOx|Premature mortality", US_national_yearly!$D:$AM, 10, FALSE), 1)</f>
        <v>4.8316077441153051E-4</v>
      </c>
      <c r="L2" s="7">
        <f>$B2 * IFERROR(VLOOKUP("industry|NOx|Premature mortality", US_national_yearly!$D:$AM, 20, FALSE) / VLOOKUP("industry|NOx|Premature mortality", US_national_yearly!$D:$AM, 10, FALSE), 1)</f>
        <v>4.9030287115570754E-4</v>
      </c>
      <c r="M2" s="7">
        <f>$B2 * IFERROR(VLOOKUP("industry|NOx|Premature mortality", US_national_yearly!$D:$AM, 21, FALSE) / VLOOKUP("industry|NOx|Premature mortality", US_national_yearly!$D:$AM, 10, FALSE), 1)</f>
        <v>4.9744496789988458E-4</v>
      </c>
      <c r="N2" s="7">
        <f>$B2 * IFERROR(VLOOKUP("industry|NOx|Premature mortality", US_national_yearly!$D:$AM, 22, FALSE) / VLOOKUP("industry|NOx|Premature mortality", US_national_yearly!$D:$AM, 10, FALSE), 1)</f>
        <v>5.0275961985294878E-4</v>
      </c>
      <c r="O2" s="7">
        <f>$B2 * IFERROR(VLOOKUP("industry|NOx|Premature mortality", US_national_yearly!$D:$AM, 23, FALSE) / VLOOKUP("industry|NOx|Premature mortality", US_national_yearly!$D:$AM, 10, FALSE), 1)</f>
        <v>5.0807427180601299E-4</v>
      </c>
      <c r="P2" s="7">
        <f>$B2 * IFERROR(VLOOKUP("industry|NOx|Premature mortality", US_national_yearly!$D:$AM, 24, FALSE) / VLOOKUP("industry|NOx|Premature mortality", US_national_yearly!$D:$AM, 10, FALSE), 1)</f>
        <v>5.1338892375907697E-4</v>
      </c>
      <c r="Q2" s="7">
        <f>$B2 * IFERROR(VLOOKUP("industry|NOx|Premature mortality", US_national_yearly!$D:$AM, 25, FALSE) / VLOOKUP("industry|NOx|Premature mortality", US_national_yearly!$D:$AM, 10, FALSE), 1)</f>
        <v>5.1870357571214107E-4</v>
      </c>
      <c r="R2" s="7">
        <f>$B2 * IFERROR(VLOOKUP("industry|NOx|Premature mortality", US_national_yearly!$D:$AM, 26, FALSE) / VLOOKUP("industry|NOx|Premature mortality", US_national_yearly!$D:$AM, 10, FALSE), 1)</f>
        <v>5.2401822766520527E-4</v>
      </c>
      <c r="S2" s="7">
        <f>$B2 * IFERROR(VLOOKUP("industry|NOx|Premature mortality", US_national_yearly!$D:$AM, 27, FALSE) / VLOOKUP("industry|NOx|Premature mortality", US_national_yearly!$D:$AM, 10, FALSE), 1)</f>
        <v>5.2649305048380903E-4</v>
      </c>
      <c r="T2" s="7">
        <f>$B2 * IFERROR(VLOOKUP("industry|NOx|Premature mortality", US_national_yearly!$D:$AM, 28, FALSE) / VLOOKUP("industry|NOx|Premature mortality", US_national_yearly!$D:$AM, 10, FALSE), 1)</f>
        <v>5.2896787330241289E-4</v>
      </c>
      <c r="U2" s="7">
        <f>$B2 * IFERROR(VLOOKUP("industry|NOx|Premature mortality", US_national_yearly!$D:$AM, 29, FALSE) / VLOOKUP("industry|NOx|Premature mortality", US_national_yearly!$D:$AM, 10, FALSE), 1)</f>
        <v>5.3144269612101665E-4</v>
      </c>
      <c r="V2" s="7">
        <f>$B2 * IFERROR(VLOOKUP("industry|NOx|Premature mortality", US_national_yearly!$D:$AM, 30, FALSE) / VLOOKUP("industry|NOx|Premature mortality", US_national_yearly!$D:$AM, 10, FALSE), 1)</f>
        <v>5.3391751893962041E-4</v>
      </c>
      <c r="W2" s="7">
        <f>$B2 * IFERROR(VLOOKUP("industry|NOx|Premature mortality", US_national_yearly!$D:$AM, 31, FALSE) / VLOOKUP("industry|NOx|Premature mortality", US_national_yearly!$D:$AM, 10, FALSE), 1)</f>
        <v>5.3639234175822416E-4</v>
      </c>
      <c r="X2" s="7">
        <f>$B2 * IFERROR(VLOOKUP("industry|NOx|Premature mortality", US_national_yearly!$D:$AM, 32, FALSE) / VLOOKUP("industry|NOx|Premature mortality", US_national_yearly!$D:$AM, 10, FALSE), 1)</f>
        <v>5.365814756329414E-4</v>
      </c>
      <c r="Y2" s="7">
        <f>$B2 * IFERROR(VLOOKUP("industry|NOx|Premature mortality", US_national_yearly!$D:$AM, 33, FALSE) / VLOOKUP("industry|NOx|Premature mortality", US_national_yearly!$D:$AM, 10, FALSE), 1)</f>
        <v>5.3677060950765864E-4</v>
      </c>
      <c r="Z2" s="7">
        <f>$B2 * IFERROR(VLOOKUP("industry|NOx|Premature mortality", US_national_yearly!$D:$AM, 34, FALSE) / VLOOKUP("industry|NOx|Premature mortality", US_national_yearly!$D:$AM, 10, FALSE), 1)</f>
        <v>5.3695974338237599E-4</v>
      </c>
      <c r="AA2" s="7">
        <f>$B2 * IFERROR(VLOOKUP("industry|NOx|Premature mortality", US_national_yearly!$D:$AM, 35, FALSE) / VLOOKUP("industry|NOx|Premature mortality", US_national_yearly!$D:$AM, 10, FALSE), 1)</f>
        <v>5.3714887725709324E-4</v>
      </c>
      <c r="AB2" s="7">
        <f>$B2 * IFERROR(VLOOKUP("industry|NOx|Premature mortality", US_national_yearly!$D:$AM, 36, FALSE) / VLOOKUP("industry|NOx|Premature mortality", US_national_yearly!$D:$AM, 10, FALSE), 1)</f>
        <v>5.3733801113181048E-4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1.5688178501891235E-6</v>
      </c>
      <c r="C3" s="7">
        <f>$B3 * IFERROR(VLOOKUP("industry|NOx|Infant mortality", US_national_yearly!$D:$AM, 11, FALSE) / VLOOKUP("industry|NOx|Infant mortality", US_national_yearly!$D:$AM, 10, FALSE), 1)</f>
        <v>1.553793544543736E-6</v>
      </c>
      <c r="D3" s="7">
        <f>$B3 * IFERROR(VLOOKUP("industry|NOx|Infant mortality", US_national_yearly!$D:$AM, 12, FALSE) / VLOOKUP("industry|NOx|Infant mortality", US_national_yearly!$D:$AM, 10, FALSE), 1)</f>
        <v>1.5387692388983485E-6</v>
      </c>
      <c r="E3" s="7">
        <f>$B3 * IFERROR(VLOOKUP("industry|NOx|Infant mortality", US_national_yearly!$D:$AM, 13, FALSE) / VLOOKUP("industry|NOx|Infant mortality", US_national_yearly!$D:$AM, 10, FALSE), 1)</f>
        <v>1.5237449332529611E-6</v>
      </c>
      <c r="F3" s="7">
        <f>$B3 * IFERROR(VLOOKUP("industry|NOx|Infant mortality", US_national_yearly!$D:$AM, 14, FALSE) / VLOOKUP("industry|NOx|Infant mortality", US_national_yearly!$D:$AM, 10, FALSE), 1)</f>
        <v>1.5087206276075736E-6</v>
      </c>
      <c r="G3" s="7">
        <f>$B3 * IFERROR(VLOOKUP("industry|NOx|Infant mortality", US_national_yearly!$D:$AM, 15, FALSE) / VLOOKUP("industry|NOx|Infant mortality", US_national_yearly!$D:$AM, 10, FALSE), 1)</f>
        <v>1.0007166430940288E-6</v>
      </c>
      <c r="H3" s="7">
        <f>$B3 * IFERROR(VLOOKUP("industry|NOx|Infant mortality", US_national_yearly!$D:$AM, 16, FALSE) / VLOOKUP("industry|NOx|Infant mortality", US_national_yearly!$D:$AM, 10, FALSE), 1)</f>
        <v>4.927126585804841E-7</v>
      </c>
      <c r="I3" s="7">
        <f>$B3 * IFERROR(VLOOKUP("industry|NOx|Infant mortality", US_national_yearly!$D:$AM, 17, FALSE) / VLOOKUP("industry|NOx|Infant mortality", US_national_yearly!$D:$AM, 10, FALSE), 1)</f>
        <v>4.8916041304723488E-7</v>
      </c>
      <c r="J3" s="7">
        <f>$B3 * IFERROR(VLOOKUP("industry|NOx|Infant mortality", US_national_yearly!$D:$AM, 18, FALSE) / VLOOKUP("industry|NOx|Infant mortality", US_national_yearly!$D:$AM, 10, FALSE), 1)</f>
        <v>4.8560816751398567E-7</v>
      </c>
      <c r="K3" s="7">
        <f>$B3 * IFERROR(VLOOKUP("industry|NOx|Infant mortality", US_national_yearly!$D:$AM, 19, FALSE) / VLOOKUP("industry|NOx|Infant mortality", US_national_yearly!$D:$AM, 10, FALSE), 1)</f>
        <v>4.8205592198073645E-7</v>
      </c>
      <c r="L3" s="7">
        <f>$B3 * IFERROR(VLOOKUP("industry|NOx|Infant mortality", US_national_yearly!$D:$AM, 20, FALSE) / VLOOKUP("industry|NOx|Infant mortality", US_national_yearly!$D:$AM, 10, FALSE), 1)</f>
        <v>4.7850367644748713E-7</v>
      </c>
      <c r="M3" s="7">
        <f>$B3 * IFERROR(VLOOKUP("industry|NOx|Infant mortality", US_national_yearly!$D:$AM, 21, FALSE) / VLOOKUP("industry|NOx|Infant mortality", US_national_yearly!$D:$AM, 10, FALSE), 1)</f>
        <v>4.7495143091423787E-7</v>
      </c>
      <c r="N3" s="7">
        <f>$B3 * IFERROR(VLOOKUP("industry|NOx|Infant mortality", US_national_yearly!$D:$AM, 22, FALSE) / VLOOKUP("industry|NOx|Infant mortality", US_national_yearly!$D:$AM, 10, FALSE), 1)</f>
        <v>4.7255808810493747E-7</v>
      </c>
      <c r="O3" s="7">
        <f>$B3 * IFERROR(VLOOKUP("industry|NOx|Infant mortality", US_national_yearly!$D:$AM, 23, FALSE) / VLOOKUP("industry|NOx|Infant mortality", US_national_yearly!$D:$AM, 10, FALSE), 1)</f>
        <v>4.7016474529563697E-7</v>
      </c>
      <c r="P3" s="7">
        <f>$B3 * IFERROR(VLOOKUP("industry|NOx|Infant mortality", US_national_yearly!$D:$AM, 24, FALSE) / VLOOKUP("industry|NOx|Infant mortality", US_national_yearly!$D:$AM, 10, FALSE), 1)</f>
        <v>4.6777140248633658E-7</v>
      </c>
      <c r="Q3" s="7">
        <f>$B3 * IFERROR(VLOOKUP("industry|NOx|Infant mortality", US_national_yearly!$D:$AM, 25, FALSE) / VLOOKUP("industry|NOx|Infant mortality", US_national_yearly!$D:$AM, 10, FALSE), 1)</f>
        <v>4.6537805967703614E-7</v>
      </c>
      <c r="R3" s="7">
        <f>$B3 * IFERROR(VLOOKUP("industry|NOx|Infant mortality", US_national_yearly!$D:$AM, 26, FALSE) / VLOOKUP("industry|NOx|Infant mortality", US_national_yearly!$D:$AM, 10, FALSE), 1)</f>
        <v>4.6298471686773574E-7</v>
      </c>
      <c r="S3" s="7">
        <f>$B3 * IFERROR(VLOOKUP("industry|NOx|Infant mortality", US_national_yearly!$D:$AM, 27, FALSE) / VLOOKUP("industry|NOx|Infant mortality", US_national_yearly!$D:$AM, 10, FALSE), 1)</f>
        <v>4.6014266507005521E-7</v>
      </c>
      <c r="T3" s="7">
        <f>$B3 * IFERROR(VLOOKUP("industry|NOx|Infant mortality", US_national_yearly!$D:$AM, 28, FALSE) / VLOOKUP("industry|NOx|Infant mortality", US_national_yearly!$D:$AM, 10, FALSE), 1)</f>
        <v>4.5730061327237467E-7</v>
      </c>
      <c r="U3" s="7">
        <f>$B3 * IFERROR(VLOOKUP("industry|NOx|Infant mortality", US_national_yearly!$D:$AM, 29, FALSE) / VLOOKUP("industry|NOx|Infant mortality", US_national_yearly!$D:$AM, 10, FALSE), 1)</f>
        <v>4.5445856147469418E-7</v>
      </c>
      <c r="V3" s="7">
        <f>$B3 * IFERROR(VLOOKUP("industry|NOx|Infant mortality", US_national_yearly!$D:$AM, 30, FALSE) / VLOOKUP("industry|NOx|Infant mortality", US_national_yearly!$D:$AM, 10, FALSE), 1)</f>
        <v>4.5161650967701364E-7</v>
      </c>
      <c r="W3" s="7">
        <f>$B3 * IFERROR(VLOOKUP("industry|NOx|Infant mortality", US_national_yearly!$D:$AM, 31, FALSE) / VLOOKUP("industry|NOx|Infant mortality", US_national_yearly!$D:$AM, 10, FALSE), 1)</f>
        <v>4.4877445787933315E-7</v>
      </c>
      <c r="X3" s="7">
        <f>$B3 * IFERROR(VLOOKUP("industry|NOx|Infant mortality", US_national_yearly!$D:$AM, 32, FALSE) / VLOOKUP("industry|NOx|Infant mortality", US_national_yearly!$D:$AM, 10, FALSE), 1)</f>
        <v>4.4578998879685438E-7</v>
      </c>
      <c r="Y3" s="7">
        <f>$B3 * IFERROR(VLOOKUP("industry|NOx|Infant mortality", US_national_yearly!$D:$AM, 33, FALSE) / VLOOKUP("industry|NOx|Infant mortality", US_national_yearly!$D:$AM, 10, FALSE), 1)</f>
        <v>4.428055197143756E-7</v>
      </c>
      <c r="Z3" s="7">
        <f>$B3 * IFERROR(VLOOKUP("industry|NOx|Infant mortality", US_national_yearly!$D:$AM, 34, FALSE) / VLOOKUP("industry|NOx|Infant mortality", US_national_yearly!$D:$AM, 10, FALSE), 1)</f>
        <v>4.3982105063189688E-7</v>
      </c>
      <c r="AA3" s="7">
        <f>$B3 * IFERROR(VLOOKUP("industry|NOx|Infant mortality", US_national_yearly!$D:$AM, 35, FALSE) / VLOOKUP("industry|NOx|Infant mortality", US_national_yearly!$D:$AM, 10, FALSE), 1)</f>
        <v>4.3683658154941815E-7</v>
      </c>
      <c r="AB3" s="7">
        <f>$B3 * IFERROR(VLOOKUP("industry|NOx|Infant mortality", US_national_yearly!$D:$AM, 36, FALSE) / VLOOKUP("industry|NOx|Infant mortality", US_national_yearly!$D:$AM, 10, FALSE), 1)</f>
        <v>4.3385211246693943E-7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1.5301802820946826E-3</v>
      </c>
      <c r="C6" s="7">
        <f>$B6 * IFERROR(VLOOKUP("industry|NOx|Asthma symptoms cough", US_national_yearly!$D:$AM, 11, FALSE) / VLOOKUP("industry|NOx|Asthma symptoms cough", US_national_yearly!$D:$AM, 10, FALSE), 1)</f>
        <v>1.5511136675715042E-3</v>
      </c>
      <c r="D6" s="7">
        <f>$B6 * IFERROR(VLOOKUP("industry|NOx|Asthma symptoms cough", US_national_yearly!$D:$AM, 12, FALSE) / VLOOKUP("industry|NOx|Asthma symptoms cough", US_national_yearly!$D:$AM, 10, FALSE), 1)</f>
        <v>1.572047053048326E-3</v>
      </c>
      <c r="E6" s="7">
        <f>$B6 * IFERROR(VLOOKUP("industry|NOx|Asthma symptoms cough", US_national_yearly!$D:$AM, 13, FALSE) / VLOOKUP("industry|NOx|Asthma symptoms cough", US_national_yearly!$D:$AM, 10, FALSE), 1)</f>
        <v>1.5929804385251475E-3</v>
      </c>
      <c r="F6" s="7">
        <f>$B6 * IFERROR(VLOOKUP("industry|NOx|Asthma symptoms cough", US_national_yearly!$D:$AM, 14, FALSE) / VLOOKUP("industry|NOx|Asthma symptoms cough", US_national_yearly!$D:$AM, 10, FALSE), 1)</f>
        <v>1.6139138240019691E-3</v>
      </c>
      <c r="G6" s="7">
        <f>$B6 * IFERROR(VLOOKUP("industry|NOx|Asthma symptoms cough", US_national_yearly!$D:$AM, 15, FALSE) / VLOOKUP("industry|NOx|Asthma symptoms cough", US_national_yearly!$D:$AM, 10, FALSE), 1)</f>
        <v>1.6306991516023665E-3</v>
      </c>
      <c r="H6" s="7">
        <f>$B6 * IFERROR(VLOOKUP("industry|NOx|Asthma symptoms cough", US_national_yearly!$D:$AM, 16, FALSE) / VLOOKUP("industry|NOx|Asthma symptoms cough", US_national_yearly!$D:$AM, 10, FALSE), 1)</f>
        <v>1.6474844792027643E-3</v>
      </c>
      <c r="I6" s="7">
        <f>$B6 * IFERROR(VLOOKUP("industry|NOx|Asthma symptoms cough", US_national_yearly!$D:$AM, 17, FALSE) / VLOOKUP("industry|NOx|Asthma symptoms cough", US_national_yearly!$D:$AM, 10, FALSE), 1)</f>
        <v>1.6533259220107544E-3</v>
      </c>
      <c r="J6" s="7">
        <f>$B6 * IFERROR(VLOOKUP("industry|NOx|Asthma symptoms cough", US_national_yearly!$D:$AM, 18, FALSE) / VLOOKUP("industry|NOx|Asthma symptoms cough", US_national_yearly!$D:$AM, 10, FALSE), 1)</f>
        <v>1.6591673648187451E-3</v>
      </c>
      <c r="K6" s="7">
        <f>$B6 * IFERROR(VLOOKUP("industry|NOx|Asthma symptoms cough", US_national_yearly!$D:$AM, 19, FALSE) / VLOOKUP("industry|NOx|Asthma symptoms cough", US_national_yearly!$D:$AM, 10, FALSE), 1)</f>
        <v>1.6650088076267352E-3</v>
      </c>
      <c r="L6" s="7">
        <f>$B6 * IFERROR(VLOOKUP("industry|NOx|Asthma symptoms cough", US_national_yearly!$D:$AM, 20, FALSE) / VLOOKUP("industry|NOx|Asthma symptoms cough", US_national_yearly!$D:$AM, 10, FALSE), 1)</f>
        <v>1.6708502504347257E-3</v>
      </c>
      <c r="M6" s="7">
        <f>$B6 * IFERROR(VLOOKUP("industry|NOx|Asthma symptoms cough", US_national_yearly!$D:$AM, 21, FALSE) / VLOOKUP("industry|NOx|Asthma symptoms cough", US_national_yearly!$D:$AM, 10, FALSE), 1)</f>
        <v>1.6766916932427164E-3</v>
      </c>
      <c r="N6" s="7">
        <f>$B6 * IFERROR(VLOOKUP("industry|NOx|Asthma symptoms cough", US_national_yearly!$D:$AM, 22, FALSE) / VLOOKUP("industry|NOx|Asthma symptoms cough", US_national_yearly!$D:$AM, 10, FALSE), 1)</f>
        <v>1.6833598596716732E-3</v>
      </c>
      <c r="O6" s="7">
        <f>$B6 * IFERROR(VLOOKUP("industry|NOx|Asthma symptoms cough", US_national_yearly!$D:$AM, 23, FALSE) / VLOOKUP("industry|NOx|Asthma symptoms cough", US_national_yearly!$D:$AM, 10, FALSE), 1)</f>
        <v>1.69002802610063E-3</v>
      </c>
      <c r="P6" s="7">
        <f>$B6 * IFERROR(VLOOKUP("industry|NOx|Asthma symptoms cough", US_national_yearly!$D:$AM, 24, FALSE) / VLOOKUP("industry|NOx|Asthma symptoms cough", US_national_yearly!$D:$AM, 10, FALSE), 1)</f>
        <v>1.696696192529587E-3</v>
      </c>
      <c r="Q6" s="7">
        <f>$B6 * IFERROR(VLOOKUP("industry|NOx|Asthma symptoms cough", US_national_yearly!$D:$AM, 25, FALSE) / VLOOKUP("industry|NOx|Asthma symptoms cough", US_national_yearly!$D:$AM, 10, FALSE), 1)</f>
        <v>1.7033643589585441E-3</v>
      </c>
      <c r="R6" s="7">
        <f>$B6 * IFERROR(VLOOKUP("industry|NOx|Asthma symptoms cough", US_national_yearly!$D:$AM, 26, FALSE) / VLOOKUP("industry|NOx|Asthma symptoms cough", US_national_yearly!$D:$AM, 10, FALSE), 1)</f>
        <v>1.7100325253875011E-3</v>
      </c>
      <c r="S6" s="7">
        <f>$B6 * IFERROR(VLOOKUP("industry|NOx|Asthma symptoms cough", US_national_yearly!$D:$AM, 27, FALSE) / VLOOKUP("industry|NOx|Asthma symptoms cough", US_national_yearly!$D:$AM, 10, FALSE), 1)</f>
        <v>1.7186341650411003E-3</v>
      </c>
      <c r="T6" s="7">
        <f>$B6 * IFERROR(VLOOKUP("industry|NOx|Asthma symptoms cough", US_national_yearly!$D:$AM, 28, FALSE) / VLOOKUP("industry|NOx|Asthma symptoms cough", US_national_yearly!$D:$AM, 10, FALSE), 1)</f>
        <v>1.7272358046946993E-3</v>
      </c>
      <c r="U6" s="7">
        <f>$B6 * IFERROR(VLOOKUP("industry|NOx|Asthma symptoms cough", US_national_yearly!$D:$AM, 29, FALSE) / VLOOKUP("industry|NOx|Asthma symptoms cough", US_national_yearly!$D:$AM, 10, FALSE), 1)</f>
        <v>1.7358374443482984E-3</v>
      </c>
      <c r="V6" s="7">
        <f>$B6 * IFERROR(VLOOKUP("industry|NOx|Asthma symptoms cough", US_national_yearly!$D:$AM, 30, FALSE) / VLOOKUP("industry|NOx|Asthma symptoms cough", US_national_yearly!$D:$AM, 10, FALSE), 1)</f>
        <v>1.7444390840018974E-3</v>
      </c>
      <c r="W6" s="7">
        <f>$B6 * IFERROR(VLOOKUP("industry|NOx|Asthma symptoms cough", US_national_yearly!$D:$AM, 31, FALSE) / VLOOKUP("industry|NOx|Asthma symptoms cough", US_national_yearly!$D:$AM, 10, FALSE), 1)</f>
        <v>1.7530407236554968E-3</v>
      </c>
      <c r="X6" s="7">
        <f>$B6 * IFERROR(VLOOKUP("industry|NOx|Asthma symptoms cough", US_national_yearly!$D:$AM, 32, FALSE) / VLOOKUP("industry|NOx|Asthma symptoms cough", US_national_yearly!$D:$AM, 10, FALSE), 1)</f>
        <v>1.7610151050685807E-3</v>
      </c>
      <c r="Y6" s="7">
        <f>$B6 * IFERROR(VLOOKUP("industry|NOx|Asthma symptoms cough", US_national_yearly!$D:$AM, 33, FALSE) / VLOOKUP("industry|NOx|Asthma symptoms cough", US_national_yearly!$D:$AM, 10, FALSE), 1)</f>
        <v>1.7689894864816643E-3</v>
      </c>
      <c r="Z6" s="7">
        <f>$B6 * IFERROR(VLOOKUP("industry|NOx|Asthma symptoms cough", US_national_yearly!$D:$AM, 34, FALSE) / VLOOKUP("industry|NOx|Asthma symptoms cough", US_national_yearly!$D:$AM, 10, FALSE), 1)</f>
        <v>1.7769638678947481E-3</v>
      </c>
      <c r="AA6" s="7">
        <f>$B6 * IFERROR(VLOOKUP("industry|NOx|Asthma symptoms cough", US_national_yearly!$D:$AM, 35, FALSE) / VLOOKUP("industry|NOx|Asthma symptoms cough", US_national_yearly!$D:$AM, 10, FALSE), 1)</f>
        <v>1.7849382493078316E-3</v>
      </c>
      <c r="AB6" s="7">
        <f>$B6 * IFERROR(VLOOKUP("industry|NOx|Asthma symptoms cough", US_national_yearly!$D:$AM, 36, FALSE) / VLOOKUP("industry|NOx|Asthma symptoms cough", US_national_yearly!$D:$AM, 10, FALSE), 1)</f>
        <v>1.7929126307209154E-3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2.0605603965219705E-3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2.0887495618719387E-3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2.1169387272219069E-3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2.1451278925718751E-3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2.1733170579218437E-3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2.1959203953016266E-3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2.2185237326814099E-3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2.2263898943951487E-3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2.2342560561088875E-3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2.2421222178226259E-3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2.2499883795363655E-3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2.2578545412501043E-3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2.2668339796070493E-3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2.2758134179639948E-3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2.2847928563209403E-3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2.2937722946778857E-3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2.3027517330348308E-3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2.3143348112587983E-3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2.3259178894827664E-3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2.3375009677067335E-3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2.3490840459307015E-3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2.3606671241546686E-3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2.3714055283781438E-3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2.3821439326016185E-3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2.3928823368250932E-3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2.403620741048568E-3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2.4143591452720431E-3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3.1483631701161598E-3</v>
      </c>
      <c r="C8" s="7">
        <f>$B8 * IFERROR(VLOOKUP("industry|NOx|Asthma symptoms wheeze", US_national_yearly!$D:$AM, 11, FALSE) / VLOOKUP("industry|NOx|Asthma symptoms wheeze", US_national_yearly!$D:$AM, 10, FALSE), 1)</f>
        <v>3.1914338466088178E-3</v>
      </c>
      <c r="D8" s="7">
        <f>$B8 * IFERROR(VLOOKUP("industry|NOx|Asthma symptoms wheeze", US_national_yearly!$D:$AM, 12, FALSE) / VLOOKUP("industry|NOx|Asthma symptoms wheeze", US_national_yearly!$D:$AM, 10, FALSE), 1)</f>
        <v>3.2345045231014758E-3</v>
      </c>
      <c r="E8" s="7">
        <f>$B8 * IFERROR(VLOOKUP("industry|NOx|Asthma symptoms wheeze", US_national_yearly!$D:$AM, 13, FALSE) / VLOOKUP("industry|NOx|Asthma symptoms wheeze", US_national_yearly!$D:$AM, 10, FALSE), 1)</f>
        <v>3.2775751995941338E-3</v>
      </c>
      <c r="F8" s="7">
        <f>$B8 * IFERROR(VLOOKUP("industry|NOx|Asthma symptoms wheeze", US_national_yearly!$D:$AM, 14, FALSE) / VLOOKUP("industry|NOx|Asthma symptoms wheeze", US_national_yearly!$D:$AM, 10, FALSE), 1)</f>
        <v>3.3206458760867909E-3</v>
      </c>
      <c r="G8" s="7">
        <f>$B8 * IFERROR(VLOOKUP("industry|NOx|Asthma symptoms wheeze", US_national_yearly!$D:$AM, 15, FALSE) / VLOOKUP("industry|NOx|Asthma symptoms wheeze", US_national_yearly!$D:$AM, 10, FALSE), 1)</f>
        <v>3.3551818767677878E-3</v>
      </c>
      <c r="H8" s="7">
        <f>$B8 * IFERROR(VLOOKUP("industry|NOx|Asthma symptoms wheeze", US_national_yearly!$D:$AM, 16, FALSE) / VLOOKUP("industry|NOx|Asthma symptoms wheeze", US_national_yearly!$D:$AM, 10, FALSE), 1)</f>
        <v>3.3897178774487829E-3</v>
      </c>
      <c r="I8" s="7">
        <f>$B8 * IFERROR(VLOOKUP("industry|NOx|Asthma symptoms wheeze", US_national_yearly!$D:$AM, 17, FALSE) / VLOOKUP("industry|NOx|Asthma symptoms wheeze", US_national_yearly!$D:$AM, 10, FALSE), 1)</f>
        <v>3.4017367118598305E-3</v>
      </c>
      <c r="J8" s="7">
        <f>$B8 * IFERROR(VLOOKUP("industry|NOx|Asthma symptoms wheeze", US_national_yearly!$D:$AM, 18, FALSE) / VLOOKUP("industry|NOx|Asthma symptoms wheeze", US_national_yearly!$D:$AM, 10, FALSE), 1)</f>
        <v>3.4137555462708776E-3</v>
      </c>
      <c r="K8" s="7">
        <f>$B8 * IFERROR(VLOOKUP("industry|NOx|Asthma symptoms wheeze", US_national_yearly!$D:$AM, 19, FALSE) / VLOOKUP("industry|NOx|Asthma symptoms wheeze", US_national_yearly!$D:$AM, 10, FALSE), 1)</f>
        <v>3.4257743806819256E-3</v>
      </c>
      <c r="L8" s="7">
        <f>$B8 * IFERROR(VLOOKUP("industry|NOx|Asthma symptoms wheeze", US_national_yearly!$D:$AM, 20, FALSE) / VLOOKUP("industry|NOx|Asthma symptoms wheeze", US_national_yearly!$D:$AM, 10, FALSE), 1)</f>
        <v>3.4377932150929718E-3</v>
      </c>
      <c r="M8" s="7">
        <f>$B8 * IFERROR(VLOOKUP("industry|NOx|Asthma symptoms wheeze", US_national_yearly!$D:$AM, 21, FALSE) / VLOOKUP("industry|NOx|Asthma symptoms wheeze", US_national_yearly!$D:$AM, 10, FALSE), 1)</f>
        <v>3.4498120495040194E-3</v>
      </c>
      <c r="N8" s="7">
        <f>$B8 * IFERROR(VLOOKUP("industry|NOx|Asthma symptoms wheeze", US_national_yearly!$D:$AM, 22, FALSE) / VLOOKUP("industry|NOx|Asthma symptoms wheeze", US_national_yearly!$D:$AM, 10, FALSE), 1)</f>
        <v>3.4635318770795936E-3</v>
      </c>
      <c r="O8" s="7">
        <f>$B8 * IFERROR(VLOOKUP("industry|NOx|Asthma symptoms wheeze", US_national_yearly!$D:$AM, 23, FALSE) / VLOOKUP("industry|NOx|Asthma symptoms wheeze", US_national_yearly!$D:$AM, 10, FALSE), 1)</f>
        <v>3.4772517046551678E-3</v>
      </c>
      <c r="P8" s="7">
        <f>$B8 * IFERROR(VLOOKUP("industry|NOx|Asthma symptoms wheeze", US_national_yearly!$D:$AM, 24, FALSE) / VLOOKUP("industry|NOx|Asthma symptoms wheeze", US_national_yearly!$D:$AM, 10, FALSE), 1)</f>
        <v>3.4909715322307415E-3</v>
      </c>
      <c r="Q8" s="7">
        <f>$B8 * IFERROR(VLOOKUP("industry|NOx|Asthma symptoms wheeze", US_national_yearly!$D:$AM, 25, FALSE) / VLOOKUP("industry|NOx|Asthma symptoms wheeze", US_national_yearly!$D:$AM, 10, FALSE), 1)</f>
        <v>3.5046913598063157E-3</v>
      </c>
      <c r="R8" s="7">
        <f>$B8 * IFERROR(VLOOKUP("industry|NOx|Asthma symptoms wheeze", US_national_yearly!$D:$AM, 26, FALSE) / VLOOKUP("industry|NOx|Asthma symptoms wheeze", US_national_yearly!$D:$AM, 10, FALSE), 1)</f>
        <v>3.5184111873818899E-3</v>
      </c>
      <c r="S8" s="7">
        <f>$B8 * IFERROR(VLOOKUP("industry|NOx|Asthma symptoms wheeze", US_national_yearly!$D:$AM, 27, FALSE) / VLOOKUP("industry|NOx|Asthma symptoms wheeze", US_national_yearly!$D:$AM, 10, FALSE), 1)</f>
        <v>3.5361091579008486E-3</v>
      </c>
      <c r="T8" s="7">
        <f>$B8 * IFERROR(VLOOKUP("industry|NOx|Asthma symptoms wheeze", US_national_yearly!$D:$AM, 28, FALSE) / VLOOKUP("industry|NOx|Asthma symptoms wheeze", US_national_yearly!$D:$AM, 10, FALSE), 1)</f>
        <v>3.5538071284198073E-3</v>
      </c>
      <c r="U8" s="7">
        <f>$B8 * IFERROR(VLOOKUP("industry|NOx|Asthma symptoms wheeze", US_national_yearly!$D:$AM, 29, FALSE) / VLOOKUP("industry|NOx|Asthma symptoms wheeze", US_national_yearly!$D:$AM, 10, FALSE), 1)</f>
        <v>3.5715050989387656E-3</v>
      </c>
      <c r="V8" s="7">
        <f>$B8 * IFERROR(VLOOKUP("industry|NOx|Asthma symptoms wheeze", US_national_yearly!$D:$AM, 30, FALSE) / VLOOKUP("industry|NOx|Asthma symptoms wheeze", US_national_yearly!$D:$AM, 10, FALSE), 1)</f>
        <v>3.5892030694577239E-3</v>
      </c>
      <c r="W8" s="7">
        <f>$B8 * IFERROR(VLOOKUP("industry|NOx|Asthma symptoms wheeze", US_national_yearly!$D:$AM, 31, FALSE) / VLOOKUP("industry|NOx|Asthma symptoms wheeze", US_national_yearly!$D:$AM, 10, FALSE), 1)</f>
        <v>3.6069010399766822E-3</v>
      </c>
      <c r="X8" s="7">
        <f>$B8 * IFERROR(VLOOKUP("industry|NOx|Asthma symptoms wheeze", US_national_yearly!$D:$AM, 32, FALSE) / VLOOKUP("industry|NOx|Asthma symptoms wheeze", US_national_yearly!$D:$AM, 10, FALSE), 1)</f>
        <v>3.6233084195969696E-3</v>
      </c>
      <c r="Y8" s="7">
        <f>$B8 * IFERROR(VLOOKUP("industry|NOx|Asthma symptoms wheeze", US_national_yearly!$D:$AM, 33, FALSE) / VLOOKUP("industry|NOx|Asthma symptoms wheeze", US_national_yearly!$D:$AM, 10, FALSE), 1)</f>
        <v>3.6397157992172561E-3</v>
      </c>
      <c r="Z8" s="7">
        <f>$B8 * IFERROR(VLOOKUP("industry|NOx|Asthma symptoms wheeze", US_national_yearly!$D:$AM, 34, FALSE) / VLOOKUP("industry|NOx|Asthma symptoms wheeze", US_national_yearly!$D:$AM, 10, FALSE), 1)</f>
        <v>3.6561231788375427E-3</v>
      </c>
      <c r="AA8" s="7">
        <f>$B8 * IFERROR(VLOOKUP("industry|NOx|Asthma symptoms wheeze", US_national_yearly!$D:$AM, 35, FALSE) / VLOOKUP("industry|NOx|Asthma symptoms wheeze", US_national_yearly!$D:$AM, 10, FALSE), 1)</f>
        <v>3.6725305584578288E-3</v>
      </c>
      <c r="AB8" s="7">
        <f>$B8 * IFERROR(VLOOKUP("industry|NOx|Asthma symptoms wheeze", US_national_yearly!$D:$AM, 36, FALSE) / VLOOKUP("industry|NOx|Asthma symptoms wheeze", US_national_yearly!$D:$AM, 10, FALSE), 1)</f>
        <v>3.6889379380781184E-3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3.0352559938572495E-5</v>
      </c>
      <c r="C12" s="7">
        <f>$B12 * IFERROR(VLOOKUP("industry|NOx|Respiratory hospital admissions", US_national_yearly!$D:$AM, 11, FALSE) / VLOOKUP("industry|NOx|Respiratory hospital admissions", US_national_yearly!$D:$AM, 10, FALSE), 1)</f>
        <v>3.1115116802680872E-5</v>
      </c>
      <c r="D12" s="7">
        <f>$B12 * IFERROR(VLOOKUP("industry|NOx|Respiratory hospital admissions", US_national_yearly!$D:$AM, 12, FALSE) / VLOOKUP("industry|NOx|Respiratory hospital admissions", US_national_yearly!$D:$AM, 10, FALSE), 1)</f>
        <v>3.187767366678925E-5</v>
      </c>
      <c r="E12" s="7">
        <f>$B12 * IFERROR(VLOOKUP("industry|NOx|Respiratory hospital admissions", US_national_yearly!$D:$AM, 13, FALSE) / VLOOKUP("industry|NOx|Respiratory hospital admissions", US_national_yearly!$D:$AM, 10, FALSE), 1)</f>
        <v>3.2640230530897641E-5</v>
      </c>
      <c r="F12" s="7">
        <f>$B12 * IFERROR(VLOOKUP("industry|NOx|Respiratory hospital admissions", US_national_yearly!$D:$AM, 14, FALSE) / VLOOKUP("industry|NOx|Respiratory hospital admissions", US_national_yearly!$D:$AM, 10, FALSE), 1)</f>
        <v>3.3402787395006011E-5</v>
      </c>
      <c r="G12" s="7">
        <f>$B12 * IFERROR(VLOOKUP("industry|NOx|Respiratory hospital admissions", US_national_yearly!$D:$AM, 15, FALSE) / VLOOKUP("industry|NOx|Respiratory hospital admissions", US_national_yearly!$D:$AM, 10, FALSE), 1)</f>
        <v>3.4132206944329319E-5</v>
      </c>
      <c r="H12" s="7">
        <f>$B12 * IFERROR(VLOOKUP("industry|NOx|Respiratory hospital admissions", US_national_yearly!$D:$AM, 16, FALSE) / VLOOKUP("industry|NOx|Respiratory hospital admissions", US_national_yearly!$D:$AM, 10, FALSE), 1)</f>
        <v>3.4861626493652627E-5</v>
      </c>
      <c r="I12" s="7">
        <f>$B12 * IFERROR(VLOOKUP("industry|NOx|Respiratory hospital admissions", US_national_yearly!$D:$AM, 17, FALSE) / VLOOKUP("industry|NOx|Respiratory hospital admissions", US_national_yearly!$D:$AM, 10, FALSE), 1)</f>
        <v>3.5482826289327965E-5</v>
      </c>
      <c r="J12" s="7">
        <f>$B12 * IFERROR(VLOOKUP("industry|NOx|Respiratory hospital admissions", US_national_yearly!$D:$AM, 18, FALSE) / VLOOKUP("industry|NOx|Respiratory hospital admissions", US_national_yearly!$D:$AM, 10, FALSE), 1)</f>
        <v>3.6104026085003303E-5</v>
      </c>
      <c r="K12" s="7">
        <f>$B12 * IFERROR(VLOOKUP("industry|NOx|Respiratory hospital admissions", US_national_yearly!$D:$AM, 19, FALSE) / VLOOKUP("industry|NOx|Respiratory hospital admissions", US_national_yearly!$D:$AM, 10, FALSE), 1)</f>
        <v>3.6725225880678648E-5</v>
      </c>
      <c r="L12" s="7">
        <f>$B12 * IFERROR(VLOOKUP("industry|NOx|Respiratory hospital admissions", US_national_yearly!$D:$AM, 20, FALSE) / VLOOKUP("industry|NOx|Respiratory hospital admissions", US_national_yearly!$D:$AM, 10, FALSE), 1)</f>
        <v>3.7346425676353993E-5</v>
      </c>
      <c r="M12" s="7">
        <f>$B12 * IFERROR(VLOOKUP("industry|NOx|Respiratory hospital admissions", US_national_yearly!$D:$AM, 21, FALSE) / VLOOKUP("industry|NOx|Respiratory hospital admissions", US_national_yearly!$D:$AM, 10, FALSE), 1)</f>
        <v>3.7967625472029331E-5</v>
      </c>
      <c r="N12" s="7">
        <f>$B12 * IFERROR(VLOOKUP("industry|NOx|Respiratory hospital admissions", US_national_yearly!$D:$AM, 22, FALSE) / VLOOKUP("industry|NOx|Respiratory hospital admissions", US_national_yearly!$D:$AM, 10, FALSE), 1)</f>
        <v>3.8383964128542032E-5</v>
      </c>
      <c r="O12" s="7">
        <f>$B12 * IFERROR(VLOOKUP("industry|NOx|Respiratory hospital admissions", US_national_yearly!$D:$AM, 23, FALSE) / VLOOKUP("industry|NOx|Respiratory hospital admissions", US_national_yearly!$D:$AM, 10, FALSE), 1)</f>
        <v>3.8800302785054727E-5</v>
      </c>
      <c r="P12" s="7">
        <f>$B12 * IFERROR(VLOOKUP("industry|NOx|Respiratory hospital admissions", US_national_yearly!$D:$AM, 24, FALSE) / VLOOKUP("industry|NOx|Respiratory hospital admissions", US_national_yearly!$D:$AM, 10, FALSE), 1)</f>
        <v>3.9216641441567429E-5</v>
      </c>
      <c r="Q12" s="7">
        <f>$B12 * IFERROR(VLOOKUP("industry|NOx|Respiratory hospital admissions", US_national_yearly!$D:$AM, 25, FALSE) / VLOOKUP("industry|NOx|Respiratory hospital admissions", US_national_yearly!$D:$AM, 10, FALSE), 1)</f>
        <v>3.9632980098080124E-5</v>
      </c>
      <c r="R12" s="7">
        <f>$B12 * IFERROR(VLOOKUP("industry|NOx|Respiratory hospital admissions", US_national_yearly!$D:$AM, 26, FALSE) / VLOOKUP("industry|NOx|Respiratory hospital admissions", US_national_yearly!$D:$AM, 10, FALSE), 1)</f>
        <v>4.0049318754592818E-5</v>
      </c>
      <c r="S12" s="7">
        <f>$B12 * IFERROR(VLOOKUP("industry|NOx|Respiratory hospital admissions", US_national_yearly!$D:$AM, 27, FALSE) / VLOOKUP("industry|NOx|Respiratory hospital admissions", US_national_yearly!$D:$AM, 10, FALSE), 1)</f>
        <v>4.0275354470614106E-5</v>
      </c>
      <c r="T12" s="7">
        <f>$B12 * IFERROR(VLOOKUP("industry|NOx|Respiratory hospital admissions", US_national_yearly!$D:$AM, 28, FALSE) / VLOOKUP("industry|NOx|Respiratory hospital admissions", US_national_yearly!$D:$AM, 10, FALSE), 1)</f>
        <v>4.0501390186635393E-5</v>
      </c>
      <c r="U12" s="7">
        <f>$B12 * IFERROR(VLOOKUP("industry|NOx|Respiratory hospital admissions", US_national_yearly!$D:$AM, 29, FALSE) / VLOOKUP("industry|NOx|Respiratory hospital admissions", US_national_yearly!$D:$AM, 10, FALSE), 1)</f>
        <v>4.072742590265668E-5</v>
      </c>
      <c r="V12" s="7">
        <f>$B12 * IFERROR(VLOOKUP("industry|NOx|Respiratory hospital admissions", US_national_yearly!$D:$AM, 30, FALSE) / VLOOKUP("industry|NOx|Respiratory hospital admissions", US_national_yearly!$D:$AM, 10, FALSE), 1)</f>
        <v>4.0953461618677961E-5</v>
      </c>
      <c r="W12" s="7">
        <f>$B12 * IFERROR(VLOOKUP("industry|NOx|Respiratory hospital admissions", US_national_yearly!$D:$AM, 31, FALSE) / VLOOKUP("industry|NOx|Respiratory hospital admissions", US_national_yearly!$D:$AM, 10, FALSE), 1)</f>
        <v>4.1179497334699255E-5</v>
      </c>
      <c r="X12" s="7">
        <f>$B12 * IFERROR(VLOOKUP("industry|NOx|Respiratory hospital admissions", US_national_yearly!$D:$AM, 32, FALSE) / VLOOKUP("industry|NOx|Respiratory hospital admissions", US_national_yearly!$D:$AM, 10, FALSE), 1)</f>
        <v>4.1337103359975995E-5</v>
      </c>
      <c r="Y12" s="7">
        <f>$B12 * IFERROR(VLOOKUP("industry|NOx|Respiratory hospital admissions", US_national_yearly!$D:$AM, 33, FALSE) / VLOOKUP("industry|NOx|Respiratory hospital admissions", US_national_yearly!$D:$AM, 10, FALSE), 1)</f>
        <v>4.1494709385252735E-5</v>
      </c>
      <c r="Z12" s="7">
        <f>$B12 * IFERROR(VLOOKUP("industry|NOx|Respiratory hospital admissions", US_national_yearly!$D:$AM, 34, FALSE) / VLOOKUP("industry|NOx|Respiratory hospital admissions", US_national_yearly!$D:$AM, 10, FALSE), 1)</f>
        <v>4.1652315410529482E-5</v>
      </c>
      <c r="AA12" s="7">
        <f>$B12 * IFERROR(VLOOKUP("industry|NOx|Respiratory hospital admissions", US_national_yearly!$D:$AM, 35, FALSE) / VLOOKUP("industry|NOx|Respiratory hospital admissions", US_national_yearly!$D:$AM, 10, FALSE), 1)</f>
        <v>4.1809921435806222E-5</v>
      </c>
      <c r="AB12" s="7">
        <f>$B12 * IFERROR(VLOOKUP("industry|NOx|Respiratory hospital admissions", US_national_yearly!$D:$AM, 36, FALSE) / VLOOKUP("industry|NOx|Respiratory hospital admissions", US_national_yearly!$D:$AM, 10, FALSE), 1)</f>
        <v>4.1967527461082962E-5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1.8725859585112315E-4</v>
      </c>
      <c r="C13" s="7">
        <f>$B13 * IFERROR(VLOOKUP("industry|NOx|Non-fatal heart attacks", US_national_yearly!$D:$AM, 11, FALSE) / VLOOKUP("industry|NOx|Non-fatal heart attacks", US_national_yearly!$D:$AM, 10, FALSE), 1)</f>
        <v>1.9260875338076661E-4</v>
      </c>
      <c r="D13" s="7">
        <f>$B13 * IFERROR(VLOOKUP("industry|NOx|Non-fatal heart attacks", US_national_yearly!$D:$AM, 12, FALSE) / VLOOKUP("industry|NOx|Non-fatal heart attacks", US_national_yearly!$D:$AM, 10, FALSE), 1)</f>
        <v>1.9795891091041009E-4</v>
      </c>
      <c r="E13" s="7">
        <f>$B13 * IFERROR(VLOOKUP("industry|NOx|Non-fatal heart attacks", US_national_yearly!$D:$AM, 13, FALSE) / VLOOKUP("industry|NOx|Non-fatal heart attacks", US_national_yearly!$D:$AM, 10, FALSE), 1)</f>
        <v>2.0330906844005355E-4</v>
      </c>
      <c r="F13" s="7">
        <f>$B13 * IFERROR(VLOOKUP("industry|NOx|Non-fatal heart attacks", US_national_yearly!$D:$AM, 14, FALSE) / VLOOKUP("industry|NOx|Non-fatal heart attacks", US_national_yearly!$D:$AM, 10, FALSE), 1)</f>
        <v>2.0865922596969701E-4</v>
      </c>
      <c r="G13" s="7">
        <f>$B13 * IFERROR(VLOOKUP("industry|NOx|Non-fatal heart attacks", US_national_yearly!$D:$AM, 15, FALSE) / VLOOKUP("industry|NOx|Non-fatal heart attacks", US_national_yearly!$D:$AM, 10, FALSE), 1)</f>
        <v>2.1366318178875625E-4</v>
      </c>
      <c r="H13" s="7">
        <f>$B13 * IFERROR(VLOOKUP("industry|NOx|Non-fatal heart attacks", US_national_yearly!$D:$AM, 16, FALSE) / VLOOKUP("industry|NOx|Non-fatal heart attacks", US_national_yearly!$D:$AM, 10, FALSE), 1)</f>
        <v>2.1866713760781544E-4</v>
      </c>
      <c r="I13" s="7">
        <f>$B13 * IFERROR(VLOOKUP("industry|NOx|Non-fatal heart attacks", US_national_yearly!$D:$AM, 17, FALSE) / VLOOKUP("industry|NOx|Non-fatal heart attacks", US_national_yearly!$D:$AM, 10, FALSE), 1)</f>
        <v>2.2262474064902853E-4</v>
      </c>
      <c r="J13" s="7">
        <f>$B13 * IFERROR(VLOOKUP("industry|NOx|Non-fatal heart attacks", US_national_yearly!$D:$AM, 18, FALSE) / VLOOKUP("industry|NOx|Non-fatal heart attacks", US_national_yearly!$D:$AM, 10, FALSE), 1)</f>
        <v>2.2658234369024162E-4</v>
      </c>
      <c r="K13" s="7">
        <f>$B13 * IFERROR(VLOOKUP("industry|NOx|Non-fatal heart attacks", US_national_yearly!$D:$AM, 19, FALSE) / VLOOKUP("industry|NOx|Non-fatal heart attacks", US_national_yearly!$D:$AM, 10, FALSE), 1)</f>
        <v>2.3053994673145463E-4</v>
      </c>
      <c r="L13" s="7">
        <f>$B13 * IFERROR(VLOOKUP("industry|NOx|Non-fatal heart attacks", US_national_yearly!$D:$AM, 20, FALSE) / VLOOKUP("industry|NOx|Non-fatal heart attacks", US_national_yearly!$D:$AM, 10, FALSE), 1)</f>
        <v>2.3449754977266784E-4</v>
      </c>
      <c r="M13" s="7">
        <f>$B13 * IFERROR(VLOOKUP("industry|NOx|Non-fatal heart attacks", US_national_yearly!$D:$AM, 21, FALSE) / VLOOKUP("industry|NOx|Non-fatal heart attacks", US_national_yearly!$D:$AM, 10, FALSE), 1)</f>
        <v>2.3845515281388095E-4</v>
      </c>
      <c r="N13" s="7">
        <f>$B13 * IFERROR(VLOOKUP("industry|NOx|Non-fatal heart attacks", US_national_yearly!$D:$AM, 22, FALSE) / VLOOKUP("industry|NOx|Non-fatal heart attacks", US_national_yearly!$D:$AM, 10, FALSE), 1)</f>
        <v>2.4083941869940107E-4</v>
      </c>
      <c r="O13" s="7">
        <f>$B13 * IFERROR(VLOOKUP("industry|NOx|Non-fatal heart attacks", US_national_yearly!$D:$AM, 23, FALSE) / VLOOKUP("industry|NOx|Non-fatal heart attacks", US_national_yearly!$D:$AM, 10, FALSE), 1)</f>
        <v>2.4322368458492115E-4</v>
      </c>
      <c r="P13" s="7">
        <f>$B13 * IFERROR(VLOOKUP("industry|NOx|Non-fatal heart attacks", US_national_yearly!$D:$AM, 24, FALSE) / VLOOKUP("industry|NOx|Non-fatal heart attacks", US_national_yearly!$D:$AM, 10, FALSE), 1)</f>
        <v>2.4560795047044118E-4</v>
      </c>
      <c r="Q13" s="7">
        <f>$B13 * IFERROR(VLOOKUP("industry|NOx|Non-fatal heart attacks", US_national_yearly!$D:$AM, 25, FALSE) / VLOOKUP("industry|NOx|Non-fatal heart attacks", US_national_yearly!$D:$AM, 10, FALSE), 1)</f>
        <v>2.479922163559613E-4</v>
      </c>
      <c r="R13" s="7">
        <f>$B13 * IFERROR(VLOOKUP("industry|NOx|Non-fatal heart attacks", US_national_yearly!$D:$AM, 26, FALSE) / VLOOKUP("industry|NOx|Non-fatal heart attacks", US_national_yearly!$D:$AM, 10, FALSE), 1)</f>
        <v>2.5037648224148136E-4</v>
      </c>
      <c r="S13" s="7">
        <f>$B13 * IFERROR(VLOOKUP("industry|NOx|Non-fatal heart attacks", US_national_yearly!$D:$AM, 27, FALSE) / VLOOKUP("industry|NOx|Non-fatal heart attacks", US_national_yearly!$D:$AM, 10, FALSE), 1)</f>
        <v>2.5147043098731935E-4</v>
      </c>
      <c r="T13" s="7">
        <f>$B13 * IFERROR(VLOOKUP("industry|NOx|Non-fatal heart attacks", US_national_yearly!$D:$AM, 28, FALSE) / VLOOKUP("industry|NOx|Non-fatal heart attacks", US_national_yearly!$D:$AM, 10, FALSE), 1)</f>
        <v>2.5256437973315734E-4</v>
      </c>
      <c r="U13" s="7">
        <f>$B13 * IFERROR(VLOOKUP("industry|NOx|Non-fatal heart attacks", US_national_yearly!$D:$AM, 29, FALSE) / VLOOKUP("industry|NOx|Non-fatal heart attacks", US_national_yearly!$D:$AM, 10, FALSE), 1)</f>
        <v>2.5365832847899534E-4</v>
      </c>
      <c r="V13" s="7">
        <f>$B13 * IFERROR(VLOOKUP("industry|NOx|Non-fatal heart attacks", US_national_yearly!$D:$AM, 30, FALSE) / VLOOKUP("industry|NOx|Non-fatal heart attacks", US_national_yearly!$D:$AM, 10, FALSE), 1)</f>
        <v>2.5475227722483338E-4</v>
      </c>
      <c r="W13" s="7">
        <f>$B13 * IFERROR(VLOOKUP("industry|NOx|Non-fatal heart attacks", US_national_yearly!$D:$AM, 31, FALSE) / VLOOKUP("industry|NOx|Non-fatal heart attacks", US_national_yearly!$D:$AM, 10, FALSE), 1)</f>
        <v>2.5584622597067132E-4</v>
      </c>
      <c r="X13" s="7">
        <f>$B13 * IFERROR(VLOOKUP("industry|NOx|Non-fatal heart attacks", US_national_yearly!$D:$AM, 32, FALSE) / VLOOKUP("industry|NOx|Non-fatal heart attacks", US_national_yearly!$D:$AM, 10, FALSE), 1)</f>
        <v>2.5658452152698406E-4</v>
      </c>
      <c r="Y13" s="7">
        <f>$B13 * IFERROR(VLOOKUP("industry|NOx|Non-fatal heart attacks", US_national_yearly!$D:$AM, 33, FALSE) / VLOOKUP("industry|NOx|Non-fatal heart attacks", US_national_yearly!$D:$AM, 10, FALSE), 1)</f>
        <v>2.5732281708329679E-4</v>
      </c>
      <c r="Z13" s="7">
        <f>$B13 * IFERROR(VLOOKUP("industry|NOx|Non-fatal heart attacks", US_national_yearly!$D:$AM, 34, FALSE) / VLOOKUP("industry|NOx|Non-fatal heart attacks", US_national_yearly!$D:$AM, 10, FALSE), 1)</f>
        <v>2.5806111263960952E-4</v>
      </c>
      <c r="AA13" s="7">
        <f>$B13 * IFERROR(VLOOKUP("industry|NOx|Non-fatal heart attacks", US_national_yearly!$D:$AM, 35, FALSE) / VLOOKUP("industry|NOx|Non-fatal heart attacks", US_national_yearly!$D:$AM, 10, FALSE), 1)</f>
        <v>2.5879940819592225E-4</v>
      </c>
      <c r="AB13" s="7">
        <f>$B13 * IFERROR(VLOOKUP("industry|NOx|Non-fatal heart attacks", US_national_yearly!$D:$AM, 36, FALSE) / VLOOKUP("industry|NOx|Non-fatal heart attacks", US_national_yearly!$D:$AM, 10, FALSE), 1)</f>
        <v>2.5953770375223499E-4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0.17313891920284302</v>
      </c>
      <c r="C14" s="7">
        <f>$B14 * IFERROR(VLOOKUP("industry|NOx|Minor restricted activity days", US_national_yearly!$D:$AM, 11, FALSE) / VLOOKUP("industry|NOx|Minor restricted activity days", US_national_yearly!$D:$AM, 10, FALSE), 1)</f>
        <v>0.17339543787182299</v>
      </c>
      <c r="D14" s="7">
        <f>$B14 * IFERROR(VLOOKUP("industry|NOx|Minor restricted activity days", US_national_yearly!$D:$AM, 12, FALSE) / VLOOKUP("industry|NOx|Minor restricted activity days", US_national_yearly!$D:$AM, 10, FALSE), 1)</f>
        <v>0.1736519565408029</v>
      </c>
      <c r="E14" s="7">
        <f>$B14 * IFERROR(VLOOKUP("industry|NOx|Minor restricted activity days", US_national_yearly!$D:$AM, 13, FALSE) / VLOOKUP("industry|NOx|Minor restricted activity days", US_national_yearly!$D:$AM, 10, FALSE), 1)</f>
        <v>0.17390847520978284</v>
      </c>
      <c r="F14" s="7">
        <f>$B14 * IFERROR(VLOOKUP("industry|NOx|Minor restricted activity days", US_national_yearly!$D:$AM, 14, FALSE) / VLOOKUP("industry|NOx|Minor restricted activity days", US_national_yearly!$D:$AM, 10, FALSE), 1)</f>
        <v>0.17416499387876277</v>
      </c>
      <c r="G14" s="7">
        <f>$B14 * IFERROR(VLOOKUP("industry|NOx|Minor restricted activity days", US_national_yearly!$D:$AM, 15, FALSE) / VLOOKUP("industry|NOx|Minor restricted activity days", US_national_yearly!$D:$AM, 10, FALSE), 1)</f>
        <v>0.17463196212646362</v>
      </c>
      <c r="H14" s="7">
        <f>$B14 * IFERROR(VLOOKUP("industry|NOx|Minor restricted activity days", US_national_yearly!$D:$AM, 16, FALSE) / VLOOKUP("industry|NOx|Minor restricted activity days", US_national_yearly!$D:$AM, 10, FALSE), 1)</f>
        <v>0.17509893037416449</v>
      </c>
      <c r="I14" s="7">
        <f>$B14 * IFERROR(VLOOKUP("industry|NOx|Minor restricted activity days", US_national_yearly!$D:$AM, 17, FALSE) / VLOOKUP("industry|NOx|Minor restricted activity days", US_national_yearly!$D:$AM, 10, FALSE), 1)</f>
        <v>0.17601822384154425</v>
      </c>
      <c r="J14" s="7">
        <f>$B14 * IFERROR(VLOOKUP("industry|NOx|Minor restricted activity days", US_national_yearly!$D:$AM, 18, FALSE) / VLOOKUP("industry|NOx|Minor restricted activity days", US_national_yearly!$D:$AM, 10, FALSE), 1)</f>
        <v>0.17693751730892396</v>
      </c>
      <c r="K14" s="7">
        <f>$B14 * IFERROR(VLOOKUP("industry|NOx|Minor restricted activity days", US_national_yearly!$D:$AM, 19, FALSE) / VLOOKUP("industry|NOx|Minor restricted activity days", US_national_yearly!$D:$AM, 10, FALSE), 1)</f>
        <v>0.17785681077630364</v>
      </c>
      <c r="L14" s="7">
        <f>$B14 * IFERROR(VLOOKUP("industry|NOx|Minor restricted activity days", US_national_yearly!$D:$AM, 20, FALSE) / VLOOKUP("industry|NOx|Minor restricted activity days", US_national_yearly!$D:$AM, 10, FALSE), 1)</f>
        <v>0.17877610424368337</v>
      </c>
      <c r="M14" s="7">
        <f>$B14 * IFERROR(VLOOKUP("industry|NOx|Minor restricted activity days", US_national_yearly!$D:$AM, 21, FALSE) / VLOOKUP("industry|NOx|Minor restricted activity days", US_national_yearly!$D:$AM, 10, FALSE), 1)</f>
        <v>0.1796953977110631</v>
      </c>
      <c r="N14" s="7">
        <f>$B14 * IFERROR(VLOOKUP("industry|NOx|Minor restricted activity days", US_national_yearly!$D:$AM, 22, FALSE) / VLOOKUP("industry|NOx|Minor restricted activity days", US_national_yearly!$D:$AM, 10, FALSE), 1)</f>
        <v>0.18101924176075734</v>
      </c>
      <c r="O14" s="7">
        <f>$B14 * IFERROR(VLOOKUP("industry|NOx|Minor restricted activity days", US_national_yearly!$D:$AM, 23, FALSE) / VLOOKUP("industry|NOx|Minor restricted activity days", US_national_yearly!$D:$AM, 10, FALSE), 1)</f>
        <v>0.18234308581045161</v>
      </c>
      <c r="P14" s="7">
        <f>$B14 * IFERROR(VLOOKUP("industry|NOx|Minor restricted activity days", US_national_yearly!$D:$AM, 24, FALSE) / VLOOKUP("industry|NOx|Minor restricted activity days", US_national_yearly!$D:$AM, 10, FALSE), 1)</f>
        <v>0.18366692986014591</v>
      </c>
      <c r="Q14" s="7">
        <f>$B14 * IFERROR(VLOOKUP("industry|NOx|Minor restricted activity days", US_national_yearly!$D:$AM, 25, FALSE) / VLOOKUP("industry|NOx|Minor restricted activity days", US_national_yearly!$D:$AM, 10, FALSE), 1)</f>
        <v>0.18499077390984014</v>
      </c>
      <c r="R14" s="7">
        <f>$B14 * IFERROR(VLOOKUP("industry|NOx|Minor restricted activity days", US_national_yearly!$D:$AM, 26, FALSE) / VLOOKUP("industry|NOx|Minor restricted activity days", US_national_yearly!$D:$AM, 10, FALSE), 1)</f>
        <v>0.18631461795953441</v>
      </c>
      <c r="S14" s="7">
        <f>$B14 * IFERROR(VLOOKUP("industry|NOx|Minor restricted activity days", US_national_yearly!$D:$AM, 27, FALSE) / VLOOKUP("industry|NOx|Minor restricted activity days", US_national_yearly!$D:$AM, 10, FALSE), 1)</f>
        <v>0.18763987936144652</v>
      </c>
      <c r="T14" s="7">
        <f>$B14 * IFERROR(VLOOKUP("industry|NOx|Minor restricted activity days", US_national_yearly!$D:$AM, 28, FALSE) / VLOOKUP("industry|NOx|Minor restricted activity days", US_national_yearly!$D:$AM, 10, FALSE), 1)</f>
        <v>0.18896514076335869</v>
      </c>
      <c r="U14" s="7">
        <f>$B14 * IFERROR(VLOOKUP("industry|NOx|Minor restricted activity days", US_national_yearly!$D:$AM, 29, FALSE) / VLOOKUP("industry|NOx|Minor restricted activity days", US_national_yearly!$D:$AM, 10, FALSE), 1)</f>
        <v>0.19029040216527085</v>
      </c>
      <c r="V14" s="7">
        <f>$B14 * IFERROR(VLOOKUP("industry|NOx|Minor restricted activity days", US_national_yearly!$D:$AM, 30, FALSE) / VLOOKUP("industry|NOx|Minor restricted activity days", US_national_yearly!$D:$AM, 10, FALSE), 1)</f>
        <v>0.19161566356718299</v>
      </c>
      <c r="W14" s="7">
        <f>$B14 * IFERROR(VLOOKUP("industry|NOx|Minor restricted activity days", US_national_yearly!$D:$AM, 31, FALSE) / VLOOKUP("industry|NOx|Minor restricted activity days", US_national_yearly!$D:$AM, 10, FALSE), 1)</f>
        <v>0.19294092496909515</v>
      </c>
      <c r="X14" s="7">
        <f>$B14 * IFERROR(VLOOKUP("industry|NOx|Minor restricted activity days", US_national_yearly!$D:$AM, 32, FALSE) / VLOOKUP("industry|NOx|Minor restricted activity days", US_national_yearly!$D:$AM, 10, FALSE), 1)</f>
        <v>0.19405982382919695</v>
      </c>
      <c r="Y14" s="7">
        <f>$B14 * IFERROR(VLOOKUP("industry|NOx|Minor restricted activity days", US_national_yearly!$D:$AM, 33, FALSE) / VLOOKUP("industry|NOx|Minor restricted activity days", US_national_yearly!$D:$AM, 10, FALSE), 1)</f>
        <v>0.19517872268929876</v>
      </c>
      <c r="Z14" s="7">
        <f>$B14 * IFERROR(VLOOKUP("industry|NOx|Minor restricted activity days", US_national_yearly!$D:$AM, 34, FALSE) / VLOOKUP("industry|NOx|Minor restricted activity days", US_national_yearly!$D:$AM, 10, FALSE), 1)</f>
        <v>0.19629762154940053</v>
      </c>
      <c r="AA14" s="7">
        <f>$B14 * IFERROR(VLOOKUP("industry|NOx|Minor restricted activity days", US_national_yearly!$D:$AM, 35, FALSE) / VLOOKUP("industry|NOx|Minor restricted activity days", US_national_yearly!$D:$AM, 10, FALSE), 1)</f>
        <v>0.19741652040950233</v>
      </c>
      <c r="AB14" s="7">
        <f>$B14 * IFERROR(VLOOKUP("industry|NOx|Minor restricted activity days", US_national_yearly!$D:$AM, 36, FALSE) / VLOOKUP("industry|NOx|Minor restricted activity days", US_national_yearly!$D:$AM, 10, FALSE), 1)</f>
        <v>0.19853541926960416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2.9534350764098844E-2</v>
      </c>
      <c r="C15" s="7">
        <f>$B15 * IFERROR(VLOOKUP("industry|NOx|Work loss days", US_national_yearly!$D:$AM, 11, FALSE) / VLOOKUP("industry|NOx|Work loss days", US_national_yearly!$D:$AM, 10, FALSE), 1)</f>
        <v>2.9598342159077102E-2</v>
      </c>
      <c r="D15" s="7">
        <f>$B15 * IFERROR(VLOOKUP("industry|NOx|Work loss days", US_national_yearly!$D:$AM, 12, FALSE) / VLOOKUP("industry|NOx|Work loss days", US_national_yearly!$D:$AM, 10, FALSE), 1)</f>
        <v>2.9662333554055346E-2</v>
      </c>
      <c r="E15" s="7">
        <f>$B15 * IFERROR(VLOOKUP("industry|NOx|Work loss days", US_national_yearly!$D:$AM, 13, FALSE) / VLOOKUP("industry|NOx|Work loss days", US_national_yearly!$D:$AM, 10, FALSE), 1)</f>
        <v>2.9726324949033604E-2</v>
      </c>
      <c r="F15" s="7">
        <f>$B15 * IFERROR(VLOOKUP("industry|NOx|Work loss days", US_national_yearly!$D:$AM, 14, FALSE) / VLOOKUP("industry|NOx|Work loss days", US_national_yearly!$D:$AM, 10, FALSE), 1)</f>
        <v>2.9790316344011858E-2</v>
      </c>
      <c r="G15" s="7">
        <f>$B15 * IFERROR(VLOOKUP("industry|NOx|Work loss days", US_national_yearly!$D:$AM, 15, FALSE) / VLOOKUP("industry|NOx|Work loss days", US_national_yearly!$D:$AM, 10, FALSE), 1)</f>
        <v>2.9883919705356355E-2</v>
      </c>
      <c r="H15" s="7">
        <f>$B15 * IFERROR(VLOOKUP("industry|NOx|Work loss days", US_national_yearly!$D:$AM, 16, FALSE) / VLOOKUP("industry|NOx|Work loss days", US_national_yearly!$D:$AM, 10, FALSE), 1)</f>
        <v>2.9977523066700856E-2</v>
      </c>
      <c r="I15" s="7">
        <f>$B15 * IFERROR(VLOOKUP("industry|NOx|Work loss days", US_national_yearly!$D:$AM, 17, FALSE) / VLOOKUP("industry|NOx|Work loss days", US_national_yearly!$D:$AM, 10, FALSE), 1)</f>
        <v>3.01296047953225E-2</v>
      </c>
      <c r="J15" s="7">
        <f>$B15 * IFERROR(VLOOKUP("industry|NOx|Work loss days", US_national_yearly!$D:$AM, 18, FALSE) / VLOOKUP("industry|NOx|Work loss days", US_national_yearly!$D:$AM, 10, FALSE), 1)</f>
        <v>3.0281686523944137E-2</v>
      </c>
      <c r="K15" s="7">
        <f>$B15 * IFERROR(VLOOKUP("industry|NOx|Work loss days", US_national_yearly!$D:$AM, 19, FALSE) / VLOOKUP("industry|NOx|Work loss days", US_national_yearly!$D:$AM, 10, FALSE), 1)</f>
        <v>3.0433768252565781E-2</v>
      </c>
      <c r="L15" s="7">
        <f>$B15 * IFERROR(VLOOKUP("industry|NOx|Work loss days", US_national_yearly!$D:$AM, 20, FALSE) / VLOOKUP("industry|NOx|Work loss days", US_national_yearly!$D:$AM, 10, FALSE), 1)</f>
        <v>3.0585849981187418E-2</v>
      </c>
      <c r="M15" s="7">
        <f>$B15 * IFERROR(VLOOKUP("industry|NOx|Work loss days", US_national_yearly!$D:$AM, 21, FALSE) / VLOOKUP("industry|NOx|Work loss days", US_national_yearly!$D:$AM, 10, FALSE), 1)</f>
        <v>3.0737931709809065E-2</v>
      </c>
      <c r="N15" s="7">
        <f>$B15 * IFERROR(VLOOKUP("industry|NOx|Work loss days", US_national_yearly!$D:$AM, 22, FALSE) / VLOOKUP("industry|NOx|Work loss days", US_national_yearly!$D:$AM, 10, FALSE), 1)</f>
        <v>3.0936820122244944E-2</v>
      </c>
      <c r="O15" s="7">
        <f>$B15 * IFERROR(VLOOKUP("industry|NOx|Work loss days", US_national_yearly!$D:$AM, 23, FALSE) / VLOOKUP("industry|NOx|Work loss days", US_national_yearly!$D:$AM, 10, FALSE), 1)</f>
        <v>3.1135708534680832E-2</v>
      </c>
      <c r="P15" s="7">
        <f>$B15 * IFERROR(VLOOKUP("industry|NOx|Work loss days", US_national_yearly!$D:$AM, 24, FALSE) / VLOOKUP("industry|NOx|Work loss days", US_national_yearly!$D:$AM, 10, FALSE), 1)</f>
        <v>3.1334596947116711E-2</v>
      </c>
      <c r="Q15" s="7">
        <f>$B15 * IFERROR(VLOOKUP("industry|NOx|Work loss days", US_national_yearly!$D:$AM, 25, FALSE) / VLOOKUP("industry|NOx|Work loss days", US_national_yearly!$D:$AM, 10, FALSE), 1)</f>
        <v>3.1533485359552589E-2</v>
      </c>
      <c r="R15" s="7">
        <f>$B15 * IFERROR(VLOOKUP("industry|NOx|Work loss days", US_national_yearly!$D:$AM, 26, FALSE) / VLOOKUP("industry|NOx|Work loss days", US_national_yearly!$D:$AM, 10, FALSE), 1)</f>
        <v>3.1732373771988481E-2</v>
      </c>
      <c r="S15" s="7">
        <f>$B15 * IFERROR(VLOOKUP("industry|NOx|Work loss days", US_national_yearly!$D:$AM, 27, FALSE) / VLOOKUP("industry|NOx|Work loss days", US_national_yearly!$D:$AM, 10, FALSE), 1)</f>
        <v>3.1954718970041207E-2</v>
      </c>
      <c r="T15" s="7">
        <f>$B15 * IFERROR(VLOOKUP("industry|NOx|Work loss days", US_national_yearly!$D:$AM, 28, FALSE) / VLOOKUP("industry|NOx|Work loss days", US_national_yearly!$D:$AM, 10, FALSE), 1)</f>
        <v>3.217706416809394E-2</v>
      </c>
      <c r="U15" s="7">
        <f>$B15 * IFERROR(VLOOKUP("industry|NOx|Work loss days", US_national_yearly!$D:$AM, 29, FALSE) / VLOOKUP("industry|NOx|Work loss days", US_national_yearly!$D:$AM, 10, FALSE), 1)</f>
        <v>3.2399409366146673E-2</v>
      </c>
      <c r="V15" s="7">
        <f>$B15 * IFERROR(VLOOKUP("industry|NOx|Work loss days", US_national_yearly!$D:$AM, 30, FALSE) / VLOOKUP("industry|NOx|Work loss days", US_national_yearly!$D:$AM, 10, FALSE), 1)</f>
        <v>3.2621754564199405E-2</v>
      </c>
      <c r="W15" s="7">
        <f>$B15 * IFERROR(VLOOKUP("industry|NOx|Work loss days", US_national_yearly!$D:$AM, 31, FALSE) / VLOOKUP("industry|NOx|Work loss days", US_national_yearly!$D:$AM, 10, FALSE), 1)</f>
        <v>3.2844099762252138E-2</v>
      </c>
      <c r="X15" s="7">
        <f>$B15 * IFERROR(VLOOKUP("industry|NOx|Work loss days", US_national_yearly!$D:$AM, 32, FALSE) / VLOOKUP("industry|NOx|Work loss days", US_national_yearly!$D:$AM, 10, FALSE), 1)</f>
        <v>3.3036991975850874E-2</v>
      </c>
      <c r="Y15" s="7">
        <f>$B15 * IFERROR(VLOOKUP("industry|NOx|Work loss days", US_national_yearly!$D:$AM, 33, FALSE) / VLOOKUP("industry|NOx|Work loss days", US_national_yearly!$D:$AM, 10, FALSE), 1)</f>
        <v>3.322988418944961E-2</v>
      </c>
      <c r="Z15" s="7">
        <f>$B15 * IFERROR(VLOOKUP("industry|NOx|Work loss days", US_national_yearly!$D:$AM, 34, FALSE) / VLOOKUP("industry|NOx|Work loss days", US_national_yearly!$D:$AM, 10, FALSE), 1)</f>
        <v>3.3422776403048346E-2</v>
      </c>
      <c r="AA15" s="7">
        <f>$B15 * IFERROR(VLOOKUP("industry|NOx|Work loss days", US_national_yearly!$D:$AM, 35, FALSE) / VLOOKUP("industry|NOx|Work loss days", US_national_yearly!$D:$AM, 10, FALSE), 1)</f>
        <v>3.3615668616647082E-2</v>
      </c>
      <c r="AB15" s="7">
        <f>$B15 * IFERROR(VLOOKUP("industry|NOx|Work loss days", US_national_yearly!$D:$AM, 36, FALSE) / VLOOKUP("industry|NOx|Work loss days", US_national_yearly!$D:$AM, 10, FALSE), 1)</f>
        <v>3.3808560830245818E-2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4.6169327565694626E-5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4.7524982348386841E-5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4.8880637131079055E-5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5.023629191377127E-5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5.1591946696463499E-5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5.2880393739957849E-5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5.4168840783452213E-5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5.5255094869411133E-5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5.634134895537006E-5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5.7427603041328974E-5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5.8513857127287894E-5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5.9600111213246808E-5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6.028015097118181E-5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6.0960190729116792E-5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6.164023048705178E-5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6.2320270244986775E-5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6.3000310002921757E-5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6.331402571799262E-5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6.362774143306347E-5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6.3941457148134333E-5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6.4255172863205196E-5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6.4568888578276046E-5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6.4746135764812946E-5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6.4923382951349832E-5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6.5100630137886732E-5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6.5277877324423618E-5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6.5455124510960518E-5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5.5045198452311917E-3</v>
      </c>
      <c r="C2" s="7">
        <f>$B2 * IFERROR(VLOOKUP("industry|SO2|Premature mortality", US_national_yearly!$D:$AM, 11, FALSE) / VLOOKUP("industry|SO2|Premature mortality", US_national_yearly!$D:$AM, 10, FALSE), 1)</f>
        <v>5.5743001076974845E-3</v>
      </c>
      <c r="D2" s="7">
        <f>$B2 * IFERROR(VLOOKUP("industry|SO2|Premature mortality", US_national_yearly!$D:$AM, 12, FALSE) / VLOOKUP("industry|SO2|Premature mortality", US_national_yearly!$D:$AM, 10, FALSE), 1)</f>
        <v>5.6440803701637756E-3</v>
      </c>
      <c r="E2" s="7">
        <f>$B2 * IFERROR(VLOOKUP("industry|SO2|Premature mortality", US_national_yearly!$D:$AM, 13, FALSE) / VLOOKUP("industry|SO2|Premature mortality", US_national_yearly!$D:$AM, 10, FALSE), 1)</f>
        <v>5.7138606326300667E-3</v>
      </c>
      <c r="F2" s="7">
        <f>$B2 * IFERROR(VLOOKUP("industry|SO2|Premature mortality", US_national_yearly!$D:$AM, 14, FALSE) / VLOOKUP("industry|SO2|Premature mortality", US_national_yearly!$D:$AM, 10, FALSE), 1)</f>
        <v>5.7836408950963595E-3</v>
      </c>
      <c r="G2" s="7">
        <f>$B2 * IFERROR(VLOOKUP("industry|SO2|Premature mortality", US_national_yearly!$D:$AM, 15, FALSE) / VLOOKUP("industry|SO2|Premature mortality", US_national_yearly!$D:$AM, 10, FALSE), 1)</f>
        <v>5.9181398120844156E-3</v>
      </c>
      <c r="H2" s="7">
        <f>$B2 * IFERROR(VLOOKUP("industry|SO2|Premature mortality", US_national_yearly!$D:$AM, 16, FALSE) / VLOOKUP("industry|SO2|Premature mortality", US_national_yearly!$D:$AM, 10, FALSE), 1)</f>
        <v>6.0526387290724716E-3</v>
      </c>
      <c r="I2" s="7">
        <f>$B2 * IFERROR(VLOOKUP("industry|SO2|Premature mortality", US_national_yearly!$D:$AM, 17, FALSE) / VLOOKUP("industry|SO2|Premature mortality", US_national_yearly!$D:$AM, 10, FALSE), 1)</f>
        <v>6.1416999752593252E-3</v>
      </c>
      <c r="J2" s="7">
        <f>$B2 * IFERROR(VLOOKUP("industry|SO2|Premature mortality", US_national_yearly!$D:$AM, 18, FALSE) / VLOOKUP("industry|SO2|Premature mortality", US_national_yearly!$D:$AM, 10, FALSE), 1)</f>
        <v>6.2307612214461778E-3</v>
      </c>
      <c r="K2" s="7">
        <f>$B2 * IFERROR(VLOOKUP("industry|SO2|Premature mortality", US_national_yearly!$D:$AM, 19, FALSE) / VLOOKUP("industry|SO2|Premature mortality", US_national_yearly!$D:$AM, 10, FALSE), 1)</f>
        <v>6.3198224676330296E-3</v>
      </c>
      <c r="L2" s="7">
        <f>$B2 * IFERROR(VLOOKUP("industry|SO2|Premature mortality", US_national_yearly!$D:$AM, 20, FALSE) / VLOOKUP("industry|SO2|Premature mortality", US_national_yearly!$D:$AM, 10, FALSE), 1)</f>
        <v>6.4088837138198832E-3</v>
      </c>
      <c r="M2" s="7">
        <f>$B2 * IFERROR(VLOOKUP("industry|SO2|Premature mortality", US_national_yearly!$D:$AM, 21, FALSE) / VLOOKUP("industry|SO2|Premature mortality", US_national_yearly!$D:$AM, 10, FALSE), 1)</f>
        <v>6.4979449600067359E-3</v>
      </c>
      <c r="N2" s="7">
        <f>$B2 * IFERROR(VLOOKUP("industry|SO2|Premature mortality", US_national_yearly!$D:$AM, 22, FALSE) / VLOOKUP("industry|SO2|Premature mortality", US_national_yearly!$D:$AM, 10, FALSE), 1)</f>
        <v>6.5676120298479943E-3</v>
      </c>
      <c r="O2" s="7">
        <f>$B2 * IFERROR(VLOOKUP("industry|SO2|Premature mortality", US_national_yearly!$D:$AM, 23, FALSE) / VLOOKUP("industry|SO2|Premature mortality", US_national_yearly!$D:$AM, 10, FALSE), 1)</f>
        <v>6.6372790996892528E-3</v>
      </c>
      <c r="P2" s="7">
        <f>$B2 * IFERROR(VLOOKUP("industry|SO2|Premature mortality", US_national_yearly!$D:$AM, 24, FALSE) / VLOOKUP("industry|SO2|Premature mortality", US_national_yearly!$D:$AM, 10, FALSE), 1)</f>
        <v>6.7069461695305112E-3</v>
      </c>
      <c r="Q2" s="7">
        <f>$B2 * IFERROR(VLOOKUP("industry|SO2|Premature mortality", US_national_yearly!$D:$AM, 25, FALSE) / VLOOKUP("industry|SO2|Premature mortality", US_national_yearly!$D:$AM, 10, FALSE), 1)</f>
        <v>6.7766132393717697E-3</v>
      </c>
      <c r="R2" s="7">
        <f>$B2 * IFERROR(VLOOKUP("industry|SO2|Premature mortality", US_national_yearly!$D:$AM, 26, FALSE) / VLOOKUP("industry|SO2|Premature mortality", US_national_yearly!$D:$AM, 10, FALSE), 1)</f>
        <v>6.8462803092130282E-3</v>
      </c>
      <c r="S2" s="7">
        <f>$B2 * IFERROR(VLOOKUP("industry|SO2|Premature mortality", US_national_yearly!$D:$AM, 27, FALSE) / VLOOKUP("industry|SO2|Premature mortality", US_national_yearly!$D:$AM, 10, FALSE), 1)</f>
        <v>6.8838966889207976E-3</v>
      </c>
      <c r="T2" s="7">
        <f>$B2 * IFERROR(VLOOKUP("industry|SO2|Premature mortality", US_national_yearly!$D:$AM, 28, FALSE) / VLOOKUP("industry|SO2|Premature mortality", US_national_yearly!$D:$AM, 10, FALSE), 1)</f>
        <v>6.9215130686285688E-3</v>
      </c>
      <c r="U2" s="7">
        <f>$B2 * IFERROR(VLOOKUP("industry|SO2|Premature mortality", US_national_yearly!$D:$AM, 29, FALSE) / VLOOKUP("industry|SO2|Premature mortality", US_national_yearly!$D:$AM, 10, FALSE), 1)</f>
        <v>6.9591294483363399E-3</v>
      </c>
      <c r="V2" s="7">
        <f>$B2 * IFERROR(VLOOKUP("industry|SO2|Premature mortality", US_national_yearly!$D:$AM, 30, FALSE) / VLOOKUP("industry|SO2|Premature mortality", US_national_yearly!$D:$AM, 10, FALSE), 1)</f>
        <v>6.9967458280441111E-3</v>
      </c>
      <c r="W2" s="7">
        <f>$B2 * IFERROR(VLOOKUP("industry|SO2|Premature mortality", US_national_yearly!$D:$AM, 31, FALSE) / VLOOKUP("industry|SO2|Premature mortality", US_national_yearly!$D:$AM, 10, FALSE), 1)</f>
        <v>7.0343622077518814E-3</v>
      </c>
      <c r="X2" s="7">
        <f>$B2 * IFERROR(VLOOKUP("industry|SO2|Premature mortality", US_national_yearly!$D:$AM, 32, FALSE) / VLOOKUP("industry|SO2|Premature mortality", US_national_yearly!$D:$AM, 10, FALSE), 1)</f>
        <v>7.0424584004877078E-3</v>
      </c>
      <c r="Y2" s="7">
        <f>$B2 * IFERROR(VLOOKUP("industry|SO2|Premature mortality", US_national_yearly!$D:$AM, 33, FALSE) / VLOOKUP("industry|SO2|Premature mortality", US_national_yearly!$D:$AM, 10, FALSE), 1)</f>
        <v>7.0505545932235333E-3</v>
      </c>
      <c r="Z2" s="7">
        <f>$B2 * IFERROR(VLOOKUP("industry|SO2|Premature mortality", US_national_yearly!$D:$AM, 34, FALSE) / VLOOKUP("industry|SO2|Premature mortality", US_national_yearly!$D:$AM, 10, FALSE), 1)</f>
        <v>7.0586507859593606E-3</v>
      </c>
      <c r="AA2" s="7">
        <f>$B2 * IFERROR(VLOOKUP("industry|SO2|Premature mortality", US_national_yearly!$D:$AM, 35, FALSE) / VLOOKUP("industry|SO2|Premature mortality", US_national_yearly!$D:$AM, 10, FALSE), 1)</f>
        <v>7.066746978695187E-3</v>
      </c>
      <c r="AB2" s="7">
        <f>$B2 * IFERROR(VLOOKUP("industry|SO2|Premature mortality", US_national_yearly!$D:$AM, 36, FALSE) / VLOOKUP("industry|SO2|Premature mortality", US_national_yearly!$D:$AM, 10, FALSE), 1)</f>
        <v>7.0748431714310125E-3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1.9836002522306573E-5</v>
      </c>
      <c r="C3" s="7">
        <f>$B3 * IFERROR(VLOOKUP("industry|SO2|Infant mortality", US_national_yearly!$D:$AM, 11, FALSE) / VLOOKUP("industry|SO2|Infant mortality", US_national_yearly!$D:$AM, 10, FALSE), 1)</f>
        <v>1.9665351862918931E-5</v>
      </c>
      <c r="D3" s="7">
        <f>$B3 * IFERROR(VLOOKUP("industry|SO2|Infant mortality", US_national_yearly!$D:$AM, 12, FALSE) / VLOOKUP("industry|SO2|Infant mortality", US_national_yearly!$D:$AM, 10, FALSE), 1)</f>
        <v>1.9494701203531291E-5</v>
      </c>
      <c r="E3" s="7">
        <f>$B3 * IFERROR(VLOOKUP("industry|SO2|Infant mortality", US_national_yearly!$D:$AM, 13, FALSE) / VLOOKUP("industry|SO2|Infant mortality", US_national_yearly!$D:$AM, 10, FALSE), 1)</f>
        <v>1.9324050544143649E-5</v>
      </c>
      <c r="F3" s="7">
        <f>$B3 * IFERROR(VLOOKUP("industry|SO2|Infant mortality", US_national_yearly!$D:$AM, 14, FALSE) / VLOOKUP("industry|SO2|Infant mortality", US_national_yearly!$D:$AM, 10, FALSE), 1)</f>
        <v>1.9153399884756006E-5</v>
      </c>
      <c r="G3" s="7">
        <f>$B3 * IFERROR(VLOOKUP("industry|SO2|Infant mortality", US_national_yearly!$D:$AM, 15, FALSE) / VLOOKUP("industry|SO2|Infant mortality", US_national_yearly!$D:$AM, 10, FALSE), 1)</f>
        <v>1.2750386628677827E-5</v>
      </c>
      <c r="H3" s="7">
        <f>$B3 * IFERROR(VLOOKUP("industry|SO2|Infant mortality", US_national_yearly!$D:$AM, 16, FALSE) / VLOOKUP("industry|SO2|Infant mortality", US_national_yearly!$D:$AM, 10, FALSE), 1)</f>
        <v>6.347373372599651E-6</v>
      </c>
      <c r="I3" s="7">
        <f>$B3 * IFERROR(VLOOKUP("industry|SO2|Infant mortality", US_national_yearly!$D:$AM, 17, FALSE) / VLOOKUP("industry|SO2|Infant mortality", US_national_yearly!$D:$AM, 10, FALSE), 1)</f>
        <v>6.3070680930557656E-6</v>
      </c>
      <c r="J3" s="7">
        <f>$B3 * IFERROR(VLOOKUP("industry|SO2|Infant mortality", US_national_yearly!$D:$AM, 18, FALSE) / VLOOKUP("industry|SO2|Infant mortality", US_national_yearly!$D:$AM, 10, FALSE), 1)</f>
        <v>6.266762813511881E-6</v>
      </c>
      <c r="K3" s="7">
        <f>$B3 * IFERROR(VLOOKUP("industry|SO2|Infant mortality", US_national_yearly!$D:$AM, 19, FALSE) / VLOOKUP("industry|SO2|Infant mortality", US_national_yearly!$D:$AM, 10, FALSE), 1)</f>
        <v>6.2264575339679965E-6</v>
      </c>
      <c r="L3" s="7">
        <f>$B3 * IFERROR(VLOOKUP("industry|SO2|Infant mortality", US_national_yearly!$D:$AM, 20, FALSE) / VLOOKUP("industry|SO2|Infant mortality", US_national_yearly!$D:$AM, 10, FALSE), 1)</f>
        <v>6.1861522544241119E-6</v>
      </c>
      <c r="M3" s="7">
        <f>$B3 * IFERROR(VLOOKUP("industry|SO2|Infant mortality", US_national_yearly!$D:$AM, 21, FALSE) / VLOOKUP("industry|SO2|Infant mortality", US_national_yearly!$D:$AM, 10, FALSE), 1)</f>
        <v>6.1458469748802273E-6</v>
      </c>
      <c r="N3" s="7">
        <f>$B3 * IFERROR(VLOOKUP("industry|SO2|Infant mortality", US_national_yearly!$D:$AM, 22, FALSE) / VLOOKUP("industry|SO2|Infant mortality", US_national_yearly!$D:$AM, 10, FALSE), 1)</f>
        <v>6.1203012993532189E-6</v>
      </c>
      <c r="O3" s="7">
        <f>$B3 * IFERROR(VLOOKUP("industry|SO2|Infant mortality", US_national_yearly!$D:$AM, 23, FALSE) / VLOOKUP("industry|SO2|Infant mortality", US_national_yearly!$D:$AM, 10, FALSE), 1)</f>
        <v>6.0947556238262096E-6</v>
      </c>
      <c r="P3" s="7">
        <f>$B3 * IFERROR(VLOOKUP("industry|SO2|Infant mortality", US_national_yearly!$D:$AM, 24, FALSE) / VLOOKUP("industry|SO2|Infant mortality", US_national_yearly!$D:$AM, 10, FALSE), 1)</f>
        <v>6.0692099482992012E-6</v>
      </c>
      <c r="Q3" s="7">
        <f>$B3 * IFERROR(VLOOKUP("industry|SO2|Infant mortality", US_national_yearly!$D:$AM, 25, FALSE) / VLOOKUP("industry|SO2|Infant mortality", US_national_yearly!$D:$AM, 10, FALSE), 1)</f>
        <v>6.0436642727721928E-6</v>
      </c>
      <c r="R3" s="7">
        <f>$B3 * IFERROR(VLOOKUP("industry|SO2|Infant mortality", US_national_yearly!$D:$AM, 26, FALSE) / VLOOKUP("industry|SO2|Infant mortality", US_national_yearly!$D:$AM, 10, FALSE), 1)</f>
        <v>6.0181185972451843E-6</v>
      </c>
      <c r="S3" s="7">
        <f>$B3 * IFERROR(VLOOKUP("industry|SO2|Infant mortality", US_national_yearly!$D:$AM, 27, FALSE) / VLOOKUP("industry|SO2|Infant mortality", US_national_yearly!$D:$AM, 10, FALSE), 1)</f>
        <v>5.9863272954688202E-6</v>
      </c>
      <c r="T3" s="7">
        <f>$B3 * IFERROR(VLOOKUP("industry|SO2|Infant mortality", US_national_yearly!$D:$AM, 28, FALSE) / VLOOKUP("industry|SO2|Infant mortality", US_national_yearly!$D:$AM, 10, FALSE), 1)</f>
        <v>5.9545359936924553E-6</v>
      </c>
      <c r="U3" s="7">
        <f>$B3 * IFERROR(VLOOKUP("industry|SO2|Infant mortality", US_national_yearly!$D:$AM, 29, FALSE) / VLOOKUP("industry|SO2|Infant mortality", US_national_yearly!$D:$AM, 10, FALSE), 1)</f>
        <v>5.9227446919160912E-6</v>
      </c>
      <c r="V3" s="7">
        <f>$B3 * IFERROR(VLOOKUP("industry|SO2|Infant mortality", US_national_yearly!$D:$AM, 30, FALSE) / VLOOKUP("industry|SO2|Infant mortality", US_national_yearly!$D:$AM, 10, FALSE), 1)</f>
        <v>5.8909533901397271E-6</v>
      </c>
      <c r="W3" s="7">
        <f>$B3 * IFERROR(VLOOKUP("industry|SO2|Infant mortality", US_national_yearly!$D:$AM, 31, FALSE) / VLOOKUP("industry|SO2|Infant mortality", US_national_yearly!$D:$AM, 10, FALSE), 1)</f>
        <v>5.8591620883633622E-6</v>
      </c>
      <c r="X3" s="7">
        <f>$B3 * IFERROR(VLOOKUP("industry|SO2|Infant mortality", US_national_yearly!$D:$AM, 32, FALSE) / VLOOKUP("industry|SO2|Infant mortality", US_national_yearly!$D:$AM, 10, FALSE), 1)</f>
        <v>5.8246144305274509E-6</v>
      </c>
      <c r="Y3" s="7">
        <f>$B3 * IFERROR(VLOOKUP("industry|SO2|Infant mortality", US_national_yearly!$D:$AM, 33, FALSE) / VLOOKUP("industry|SO2|Infant mortality", US_national_yearly!$D:$AM, 10, FALSE), 1)</f>
        <v>5.7900667726915389E-6</v>
      </c>
      <c r="Z3" s="7">
        <f>$B3 * IFERROR(VLOOKUP("industry|SO2|Infant mortality", US_national_yearly!$D:$AM, 34, FALSE) / VLOOKUP("industry|SO2|Infant mortality", US_national_yearly!$D:$AM, 10, FALSE), 1)</f>
        <v>5.7555191148556268E-6</v>
      </c>
      <c r="AA3" s="7">
        <f>$B3 * IFERROR(VLOOKUP("industry|SO2|Infant mortality", US_national_yearly!$D:$AM, 35, FALSE) / VLOOKUP("industry|SO2|Infant mortality", US_national_yearly!$D:$AM, 10, FALSE), 1)</f>
        <v>5.7209714570197148E-6</v>
      </c>
      <c r="AB3" s="7">
        <f>$B3 * IFERROR(VLOOKUP("industry|SO2|Infant mortality", US_national_yearly!$D:$AM, 36, FALSE) / VLOOKUP("industry|SO2|Infant mortality", US_national_yearly!$D:$AM, 10, FALSE), 1)</f>
        <v>5.6864237991838035E-6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2.0051666757017181E-2</v>
      </c>
      <c r="C6" s="7">
        <f>$B6 * IFERROR(VLOOKUP("industry|SO2|Asthma symptoms cough", US_national_yearly!$D:$AM, 11, FALSE) / VLOOKUP("industry|SO2|Asthma symptoms cough", US_national_yearly!$D:$AM, 10, FALSE), 1)</f>
        <v>2.0051666757017181E-2</v>
      </c>
      <c r="D6" s="7">
        <f>$B6 * IFERROR(VLOOKUP("industry|SO2|Asthma symptoms cough", US_national_yearly!$D:$AM, 12, FALSE) / VLOOKUP("industry|SO2|Asthma symptoms cough", US_national_yearly!$D:$AM, 10, FALSE), 1)</f>
        <v>2.0051666757017181E-2</v>
      </c>
      <c r="E6" s="7">
        <f>$B6 * IFERROR(VLOOKUP("industry|SO2|Asthma symptoms cough", US_national_yearly!$D:$AM, 13, FALSE) / VLOOKUP("industry|SO2|Asthma symptoms cough", US_national_yearly!$D:$AM, 10, FALSE), 1)</f>
        <v>2.0051666757017181E-2</v>
      </c>
      <c r="F6" s="7">
        <f>$B6 * IFERROR(VLOOKUP("industry|SO2|Asthma symptoms cough", US_national_yearly!$D:$AM, 14, FALSE) / VLOOKUP("industry|SO2|Asthma symptoms cough", US_national_yearly!$D:$AM, 10, FALSE), 1)</f>
        <v>2.0051666757017181E-2</v>
      </c>
      <c r="G6" s="7">
        <f>$B6 * IFERROR(VLOOKUP("industry|SO2|Asthma symptoms cough", US_national_yearly!$D:$AM, 15, FALSE) / VLOOKUP("industry|SO2|Asthma symptoms cough", US_national_yearly!$D:$AM, 10, FALSE), 1)</f>
        <v>2.0051666757017181E-2</v>
      </c>
      <c r="H6" s="7">
        <f>$B6 * IFERROR(VLOOKUP("industry|SO2|Asthma symptoms cough", US_national_yearly!$D:$AM, 16, FALSE) / VLOOKUP("industry|SO2|Asthma symptoms cough", US_national_yearly!$D:$AM, 10, FALSE), 1)</f>
        <v>2.0051666757017181E-2</v>
      </c>
      <c r="I6" s="7">
        <f>$B6 * IFERROR(VLOOKUP("industry|SO2|Asthma symptoms cough", US_national_yearly!$D:$AM, 17, FALSE) / VLOOKUP("industry|SO2|Asthma symptoms cough", US_national_yearly!$D:$AM, 10, FALSE), 1)</f>
        <v>2.0051666757017181E-2</v>
      </c>
      <c r="J6" s="7">
        <f>$B6 * IFERROR(VLOOKUP("industry|SO2|Asthma symptoms cough", US_national_yearly!$D:$AM, 18, FALSE) / VLOOKUP("industry|SO2|Asthma symptoms cough", US_national_yearly!$D:$AM, 10, FALSE), 1)</f>
        <v>2.0051666757017181E-2</v>
      </c>
      <c r="K6" s="7">
        <f>$B6 * IFERROR(VLOOKUP("industry|SO2|Asthma symptoms cough", US_national_yearly!$D:$AM, 19, FALSE) / VLOOKUP("industry|SO2|Asthma symptoms cough", US_national_yearly!$D:$AM, 10, FALSE), 1)</f>
        <v>2.0051666757017181E-2</v>
      </c>
      <c r="L6" s="7">
        <f>$B6 * IFERROR(VLOOKUP("industry|SO2|Asthma symptoms cough", US_national_yearly!$D:$AM, 20, FALSE) / VLOOKUP("industry|SO2|Asthma symptoms cough", US_national_yearly!$D:$AM, 10, FALSE), 1)</f>
        <v>2.0051666757017181E-2</v>
      </c>
      <c r="M6" s="7">
        <f>$B6 * IFERROR(VLOOKUP("industry|SO2|Asthma symptoms cough", US_national_yearly!$D:$AM, 21, FALSE) / VLOOKUP("industry|SO2|Asthma symptoms cough", US_national_yearly!$D:$AM, 10, FALSE), 1)</f>
        <v>2.0051666757017181E-2</v>
      </c>
      <c r="N6" s="7">
        <f>$B6 * IFERROR(VLOOKUP("industry|SO2|Asthma symptoms cough", US_national_yearly!$D:$AM, 22, FALSE) / VLOOKUP("industry|SO2|Asthma symptoms cough", US_national_yearly!$D:$AM, 10, FALSE), 1)</f>
        <v>2.0051666757017181E-2</v>
      </c>
      <c r="O6" s="7">
        <f>$B6 * IFERROR(VLOOKUP("industry|SO2|Asthma symptoms cough", US_national_yearly!$D:$AM, 23, FALSE) / VLOOKUP("industry|SO2|Asthma symptoms cough", US_national_yearly!$D:$AM, 10, FALSE), 1)</f>
        <v>2.0051666757017181E-2</v>
      </c>
      <c r="P6" s="7">
        <f>$B6 * IFERROR(VLOOKUP("industry|SO2|Asthma symptoms cough", US_national_yearly!$D:$AM, 24, FALSE) / VLOOKUP("industry|SO2|Asthma symptoms cough", US_national_yearly!$D:$AM, 10, FALSE), 1)</f>
        <v>2.0051666757017181E-2</v>
      </c>
      <c r="Q6" s="7">
        <f>$B6 * IFERROR(VLOOKUP("industry|SO2|Asthma symptoms cough", US_national_yearly!$D:$AM, 25, FALSE) / VLOOKUP("industry|SO2|Asthma symptoms cough", US_national_yearly!$D:$AM, 10, FALSE), 1)</f>
        <v>2.0051666757017181E-2</v>
      </c>
      <c r="R6" s="7">
        <f>$B6 * IFERROR(VLOOKUP("industry|SO2|Asthma symptoms cough", US_national_yearly!$D:$AM, 26, FALSE) / VLOOKUP("industry|SO2|Asthma symptoms cough", US_national_yearly!$D:$AM, 10, FALSE), 1)</f>
        <v>2.0051666757017181E-2</v>
      </c>
      <c r="S6" s="7">
        <f>$B6 * IFERROR(VLOOKUP("industry|SO2|Asthma symptoms cough", US_national_yearly!$D:$AM, 27, FALSE) / VLOOKUP("industry|SO2|Asthma symptoms cough", US_national_yearly!$D:$AM, 10, FALSE), 1)</f>
        <v>2.0051666757017181E-2</v>
      </c>
      <c r="T6" s="7">
        <f>$B6 * IFERROR(VLOOKUP("industry|SO2|Asthma symptoms cough", US_national_yearly!$D:$AM, 28, FALSE) / VLOOKUP("industry|SO2|Asthma symptoms cough", US_national_yearly!$D:$AM, 10, FALSE), 1)</f>
        <v>2.0051666757017181E-2</v>
      </c>
      <c r="U6" s="7">
        <f>$B6 * IFERROR(VLOOKUP("industry|SO2|Asthma symptoms cough", US_national_yearly!$D:$AM, 29, FALSE) / VLOOKUP("industry|SO2|Asthma symptoms cough", US_national_yearly!$D:$AM, 10, FALSE), 1)</f>
        <v>2.0051666757017181E-2</v>
      </c>
      <c r="V6" s="7">
        <f>$B6 * IFERROR(VLOOKUP("industry|SO2|Asthma symptoms cough", US_national_yearly!$D:$AM, 30, FALSE) / VLOOKUP("industry|SO2|Asthma symptoms cough", US_national_yearly!$D:$AM, 10, FALSE), 1)</f>
        <v>2.0051666757017181E-2</v>
      </c>
      <c r="W6" s="7">
        <f>$B6 * IFERROR(VLOOKUP("industry|SO2|Asthma symptoms cough", US_national_yearly!$D:$AM, 31, FALSE) / VLOOKUP("industry|SO2|Asthma symptoms cough", US_national_yearly!$D:$AM, 10, FALSE), 1)</f>
        <v>2.0051666757017181E-2</v>
      </c>
      <c r="X6" s="7">
        <f>$B6 * IFERROR(VLOOKUP("industry|SO2|Asthma symptoms cough", US_national_yearly!$D:$AM, 32, FALSE) / VLOOKUP("industry|SO2|Asthma symptoms cough", US_national_yearly!$D:$AM, 10, FALSE), 1)</f>
        <v>2.0051666757017181E-2</v>
      </c>
      <c r="Y6" s="7">
        <f>$B6 * IFERROR(VLOOKUP("industry|SO2|Asthma symptoms cough", US_national_yearly!$D:$AM, 33, FALSE) / VLOOKUP("industry|SO2|Asthma symptoms cough", US_national_yearly!$D:$AM, 10, FALSE), 1)</f>
        <v>2.0051666757017181E-2</v>
      </c>
      <c r="Z6" s="7">
        <f>$B6 * IFERROR(VLOOKUP("industry|SO2|Asthma symptoms cough", US_national_yearly!$D:$AM, 34, FALSE) / VLOOKUP("industry|SO2|Asthma symptoms cough", US_national_yearly!$D:$AM, 10, FALSE), 1)</f>
        <v>2.0051666757017181E-2</v>
      </c>
      <c r="AA6" s="7">
        <f>$B6 * IFERROR(VLOOKUP("industry|SO2|Asthma symptoms cough", US_national_yearly!$D:$AM, 35, FALSE) / VLOOKUP("industry|SO2|Asthma symptoms cough", US_national_yearly!$D:$AM, 10, FALSE), 1)</f>
        <v>2.0051666757017181E-2</v>
      </c>
      <c r="AB6" s="7">
        <f>$B6 * IFERROR(VLOOKUP("industry|SO2|Asthma symptoms cough", US_national_yearly!$D:$AM, 36, FALSE) / VLOOKUP("industry|SO2|Asthma symptoms cough", US_national_yearly!$D:$AM, 10, FALSE), 1)</f>
        <v>2.0051666757017181E-2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2.7001664204608672E-2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2.7001664204608672E-2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2.7001664204608672E-2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2.7001664204608672E-2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2.7001664204608672E-2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2.7001664204608672E-2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2.7001664204608672E-2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2.7001664204608672E-2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2.7001664204608672E-2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2.7001664204608672E-2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2.7001664204608672E-2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2.7001664204608672E-2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2.7001664204608672E-2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2.7001664204608672E-2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2.7001664204608672E-2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2.7001664204608672E-2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2.7001664204608672E-2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2.7001664204608672E-2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2.7001664204608672E-2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2.7001664204608672E-2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2.7001664204608672E-2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2.7001664204608672E-2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2.7001664204608672E-2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2.7001664204608672E-2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2.7001664204608672E-2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2.7001664204608672E-2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2.7001664204608672E-2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4.1256871529165622E-2</v>
      </c>
      <c r="C8" s="7">
        <f>$B8 * IFERROR(VLOOKUP("industry|SO2|Asthma symptoms wheeze", US_national_yearly!$D:$AM, 11, FALSE) / VLOOKUP("industry|SO2|Asthma symptoms wheeze", US_national_yearly!$D:$AM, 10, FALSE), 1)</f>
        <v>4.1256871529165622E-2</v>
      </c>
      <c r="D8" s="7">
        <f>$B8 * IFERROR(VLOOKUP("industry|SO2|Asthma symptoms wheeze", US_national_yearly!$D:$AM, 12, FALSE) / VLOOKUP("industry|SO2|Asthma symptoms wheeze", US_national_yearly!$D:$AM, 10, FALSE), 1)</f>
        <v>4.1256871529165622E-2</v>
      </c>
      <c r="E8" s="7">
        <f>$B8 * IFERROR(VLOOKUP("industry|SO2|Asthma symptoms wheeze", US_national_yearly!$D:$AM, 13, FALSE) / VLOOKUP("industry|SO2|Asthma symptoms wheeze", US_national_yearly!$D:$AM, 10, FALSE), 1)</f>
        <v>4.1256871529165622E-2</v>
      </c>
      <c r="F8" s="7">
        <f>$B8 * IFERROR(VLOOKUP("industry|SO2|Asthma symptoms wheeze", US_national_yearly!$D:$AM, 14, FALSE) / VLOOKUP("industry|SO2|Asthma symptoms wheeze", US_national_yearly!$D:$AM, 10, FALSE), 1)</f>
        <v>4.1256871529165622E-2</v>
      </c>
      <c r="G8" s="7">
        <f>$B8 * IFERROR(VLOOKUP("industry|SO2|Asthma symptoms wheeze", US_national_yearly!$D:$AM, 15, FALSE) / VLOOKUP("industry|SO2|Asthma symptoms wheeze", US_national_yearly!$D:$AM, 10, FALSE), 1)</f>
        <v>4.1256871529165622E-2</v>
      </c>
      <c r="H8" s="7">
        <f>$B8 * IFERROR(VLOOKUP("industry|SO2|Asthma symptoms wheeze", US_national_yearly!$D:$AM, 16, FALSE) / VLOOKUP("industry|SO2|Asthma symptoms wheeze", US_national_yearly!$D:$AM, 10, FALSE), 1)</f>
        <v>4.1256871529165622E-2</v>
      </c>
      <c r="I8" s="7">
        <f>$B8 * IFERROR(VLOOKUP("industry|SO2|Asthma symptoms wheeze", US_national_yearly!$D:$AM, 17, FALSE) / VLOOKUP("industry|SO2|Asthma symptoms wheeze", US_national_yearly!$D:$AM, 10, FALSE), 1)</f>
        <v>4.1256871529165622E-2</v>
      </c>
      <c r="J8" s="7">
        <f>$B8 * IFERROR(VLOOKUP("industry|SO2|Asthma symptoms wheeze", US_national_yearly!$D:$AM, 18, FALSE) / VLOOKUP("industry|SO2|Asthma symptoms wheeze", US_national_yearly!$D:$AM, 10, FALSE), 1)</f>
        <v>4.1256871529165622E-2</v>
      </c>
      <c r="K8" s="7">
        <f>$B8 * IFERROR(VLOOKUP("industry|SO2|Asthma symptoms wheeze", US_national_yearly!$D:$AM, 19, FALSE) / VLOOKUP("industry|SO2|Asthma symptoms wheeze", US_national_yearly!$D:$AM, 10, FALSE), 1)</f>
        <v>4.1256871529165622E-2</v>
      </c>
      <c r="L8" s="7">
        <f>$B8 * IFERROR(VLOOKUP("industry|SO2|Asthma symptoms wheeze", US_national_yearly!$D:$AM, 20, FALSE) / VLOOKUP("industry|SO2|Asthma symptoms wheeze", US_national_yearly!$D:$AM, 10, FALSE), 1)</f>
        <v>4.1256871529165622E-2</v>
      </c>
      <c r="M8" s="7">
        <f>$B8 * IFERROR(VLOOKUP("industry|SO2|Asthma symptoms wheeze", US_national_yearly!$D:$AM, 21, FALSE) / VLOOKUP("industry|SO2|Asthma symptoms wheeze", US_national_yearly!$D:$AM, 10, FALSE), 1)</f>
        <v>4.1256871529165622E-2</v>
      </c>
      <c r="N8" s="7">
        <f>$B8 * IFERROR(VLOOKUP("industry|SO2|Asthma symptoms wheeze", US_national_yearly!$D:$AM, 22, FALSE) / VLOOKUP("industry|SO2|Asthma symptoms wheeze", US_national_yearly!$D:$AM, 10, FALSE), 1)</f>
        <v>4.1256871529165622E-2</v>
      </c>
      <c r="O8" s="7">
        <f>$B8 * IFERROR(VLOOKUP("industry|SO2|Asthma symptoms wheeze", US_national_yearly!$D:$AM, 23, FALSE) / VLOOKUP("industry|SO2|Asthma symptoms wheeze", US_national_yearly!$D:$AM, 10, FALSE), 1)</f>
        <v>4.1256871529165622E-2</v>
      </c>
      <c r="P8" s="7">
        <f>$B8 * IFERROR(VLOOKUP("industry|SO2|Asthma symptoms wheeze", US_national_yearly!$D:$AM, 24, FALSE) / VLOOKUP("industry|SO2|Asthma symptoms wheeze", US_national_yearly!$D:$AM, 10, FALSE), 1)</f>
        <v>4.1256871529165622E-2</v>
      </c>
      <c r="Q8" s="7">
        <f>$B8 * IFERROR(VLOOKUP("industry|SO2|Asthma symptoms wheeze", US_national_yearly!$D:$AM, 25, FALSE) / VLOOKUP("industry|SO2|Asthma symptoms wheeze", US_national_yearly!$D:$AM, 10, FALSE), 1)</f>
        <v>4.1256871529165622E-2</v>
      </c>
      <c r="R8" s="7">
        <f>$B8 * IFERROR(VLOOKUP("industry|SO2|Asthma symptoms wheeze", US_national_yearly!$D:$AM, 26, FALSE) / VLOOKUP("industry|SO2|Asthma symptoms wheeze", US_national_yearly!$D:$AM, 10, FALSE), 1)</f>
        <v>4.1256871529165622E-2</v>
      </c>
      <c r="S8" s="7">
        <f>$B8 * IFERROR(VLOOKUP("industry|SO2|Asthma symptoms wheeze", US_national_yearly!$D:$AM, 27, FALSE) / VLOOKUP("industry|SO2|Asthma symptoms wheeze", US_national_yearly!$D:$AM, 10, FALSE), 1)</f>
        <v>4.1256871529165622E-2</v>
      </c>
      <c r="T8" s="7">
        <f>$B8 * IFERROR(VLOOKUP("industry|SO2|Asthma symptoms wheeze", US_national_yearly!$D:$AM, 28, FALSE) / VLOOKUP("industry|SO2|Asthma symptoms wheeze", US_national_yearly!$D:$AM, 10, FALSE), 1)</f>
        <v>4.1256871529165622E-2</v>
      </c>
      <c r="U8" s="7">
        <f>$B8 * IFERROR(VLOOKUP("industry|SO2|Asthma symptoms wheeze", US_national_yearly!$D:$AM, 29, FALSE) / VLOOKUP("industry|SO2|Asthma symptoms wheeze", US_national_yearly!$D:$AM, 10, FALSE), 1)</f>
        <v>4.1256871529165622E-2</v>
      </c>
      <c r="V8" s="7">
        <f>$B8 * IFERROR(VLOOKUP("industry|SO2|Asthma symptoms wheeze", US_national_yearly!$D:$AM, 30, FALSE) / VLOOKUP("industry|SO2|Asthma symptoms wheeze", US_national_yearly!$D:$AM, 10, FALSE), 1)</f>
        <v>4.1256871529165622E-2</v>
      </c>
      <c r="W8" s="7">
        <f>$B8 * IFERROR(VLOOKUP("industry|SO2|Asthma symptoms wheeze", US_national_yearly!$D:$AM, 31, FALSE) / VLOOKUP("industry|SO2|Asthma symptoms wheeze", US_national_yearly!$D:$AM, 10, FALSE), 1)</f>
        <v>4.1256871529165622E-2</v>
      </c>
      <c r="X8" s="7">
        <f>$B8 * IFERROR(VLOOKUP("industry|SO2|Asthma symptoms wheeze", US_national_yearly!$D:$AM, 32, FALSE) / VLOOKUP("industry|SO2|Asthma symptoms wheeze", US_national_yearly!$D:$AM, 10, FALSE), 1)</f>
        <v>4.1256871529165622E-2</v>
      </c>
      <c r="Y8" s="7">
        <f>$B8 * IFERROR(VLOOKUP("industry|SO2|Asthma symptoms wheeze", US_national_yearly!$D:$AM, 33, FALSE) / VLOOKUP("industry|SO2|Asthma symptoms wheeze", US_national_yearly!$D:$AM, 10, FALSE), 1)</f>
        <v>4.1256871529165622E-2</v>
      </c>
      <c r="Z8" s="7">
        <f>$B8 * IFERROR(VLOOKUP("industry|SO2|Asthma symptoms wheeze", US_national_yearly!$D:$AM, 34, FALSE) / VLOOKUP("industry|SO2|Asthma symptoms wheeze", US_national_yearly!$D:$AM, 10, FALSE), 1)</f>
        <v>4.1256871529165622E-2</v>
      </c>
      <c r="AA8" s="7">
        <f>$B8 * IFERROR(VLOOKUP("industry|SO2|Asthma symptoms wheeze", US_national_yearly!$D:$AM, 35, FALSE) / VLOOKUP("industry|SO2|Asthma symptoms wheeze", US_national_yearly!$D:$AM, 10, FALSE), 1)</f>
        <v>4.1256871529165622E-2</v>
      </c>
      <c r="AB8" s="7">
        <f>$B8 * IFERROR(VLOOKUP("industry|SO2|Asthma symptoms wheeze", US_national_yearly!$D:$AM, 36, FALSE) / VLOOKUP("industry|SO2|Asthma symptoms wheeze", US_national_yearly!$D:$AM, 10, FALSE), 1)</f>
        <v>4.1256871529165622E-2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4.0762273044521073E-4</v>
      </c>
      <c r="C12" s="7">
        <f>$B12 * IFERROR(VLOOKUP("industry|SO2|Respiratory hospital admissions", US_national_yearly!$D:$AM, 11, FALSE) / VLOOKUP("industry|SO2|Respiratory hospital admissions", US_national_yearly!$D:$AM, 10, FALSE), 1)</f>
        <v>4.1001062147280089E-4</v>
      </c>
      <c r="D12" s="7">
        <f>$B12 * IFERROR(VLOOKUP("industry|SO2|Respiratory hospital admissions", US_national_yearly!$D:$AM, 12, FALSE) / VLOOKUP("industry|SO2|Respiratory hospital admissions", US_national_yearly!$D:$AM, 10, FALSE), 1)</f>
        <v>4.123985125003911E-4</v>
      </c>
      <c r="E12" s="7">
        <f>$B12 * IFERROR(VLOOKUP("industry|SO2|Respiratory hospital admissions", US_national_yearly!$D:$AM, 13, FALSE) / VLOOKUP("industry|SO2|Respiratory hospital admissions", US_national_yearly!$D:$AM, 10, FALSE), 1)</f>
        <v>4.1478640352798126E-4</v>
      </c>
      <c r="F12" s="7">
        <f>$B12 * IFERROR(VLOOKUP("industry|SO2|Respiratory hospital admissions", US_national_yearly!$D:$AM, 14, FALSE) / VLOOKUP("industry|SO2|Respiratory hospital admissions", US_national_yearly!$D:$AM, 10, FALSE), 1)</f>
        <v>4.1717429455557153E-4</v>
      </c>
      <c r="G12" s="7">
        <f>$B12 * IFERROR(VLOOKUP("industry|SO2|Respiratory hospital admissions", US_national_yearly!$D:$AM, 15, FALSE) / VLOOKUP("industry|SO2|Respiratory hospital admissions", US_national_yearly!$D:$AM, 10, FALSE), 1)</f>
        <v>4.1977755769449321E-4</v>
      </c>
      <c r="H12" s="7">
        <f>$B12 * IFERROR(VLOOKUP("industry|SO2|Respiratory hospital admissions", US_national_yearly!$D:$AM, 16, FALSE) / VLOOKUP("industry|SO2|Respiratory hospital admissions", US_national_yearly!$D:$AM, 10, FALSE), 1)</f>
        <v>4.2238082083341483E-4</v>
      </c>
      <c r="I12" s="7">
        <f>$B12 * IFERROR(VLOOKUP("industry|SO2|Respiratory hospital admissions", US_national_yearly!$D:$AM, 17, FALSE) / VLOOKUP("industry|SO2|Respiratory hospital admissions", US_national_yearly!$D:$AM, 10, FALSE), 1)</f>
        <v>4.2493765209581258E-4</v>
      </c>
      <c r="J12" s="7">
        <f>$B12 * IFERROR(VLOOKUP("industry|SO2|Respiratory hospital admissions", US_national_yearly!$D:$AM, 18, FALSE) / VLOOKUP("industry|SO2|Respiratory hospital admissions", US_national_yearly!$D:$AM, 10, FALSE), 1)</f>
        <v>4.2749448335821028E-4</v>
      </c>
      <c r="K12" s="7">
        <f>$B12 * IFERROR(VLOOKUP("industry|SO2|Respiratory hospital admissions", US_national_yearly!$D:$AM, 19, FALSE) / VLOOKUP("industry|SO2|Respiratory hospital admissions", US_national_yearly!$D:$AM, 10, FALSE), 1)</f>
        <v>4.3005131462060792E-4</v>
      </c>
      <c r="L12" s="7">
        <f>$B12 * IFERROR(VLOOKUP("industry|SO2|Respiratory hospital admissions", US_national_yearly!$D:$AM, 20, FALSE) / VLOOKUP("industry|SO2|Respiratory hospital admissions", US_national_yearly!$D:$AM, 10, FALSE), 1)</f>
        <v>4.3260814588300567E-4</v>
      </c>
      <c r="M12" s="7">
        <f>$B12 * IFERROR(VLOOKUP("industry|SO2|Respiratory hospital admissions", US_national_yearly!$D:$AM, 21, FALSE) / VLOOKUP("industry|SO2|Respiratory hospital admissions", US_national_yearly!$D:$AM, 10, FALSE), 1)</f>
        <v>4.3516497714540342E-4</v>
      </c>
      <c r="N12" s="7">
        <f>$B12 * IFERROR(VLOOKUP("industry|SO2|Respiratory hospital admissions", US_national_yearly!$D:$AM, 22, FALSE) / VLOOKUP("industry|SO2|Respiratory hospital admissions", US_national_yearly!$D:$AM, 10, FALSE), 1)</f>
        <v>4.3701513623460792E-4</v>
      </c>
      <c r="O12" s="7">
        <f>$B12 * IFERROR(VLOOKUP("industry|SO2|Respiratory hospital admissions", US_national_yearly!$D:$AM, 23, FALSE) / VLOOKUP("industry|SO2|Respiratory hospital admissions", US_national_yearly!$D:$AM, 10, FALSE), 1)</f>
        <v>4.3886529532381248E-4</v>
      </c>
      <c r="P12" s="7">
        <f>$B12 * IFERROR(VLOOKUP("industry|SO2|Respiratory hospital admissions", US_national_yearly!$D:$AM, 24, FALSE) / VLOOKUP("industry|SO2|Respiratory hospital admissions", US_national_yearly!$D:$AM, 10, FALSE), 1)</f>
        <v>4.4071545441301692E-4</v>
      </c>
      <c r="Q12" s="7">
        <f>$B12 * IFERROR(VLOOKUP("industry|SO2|Respiratory hospital admissions", US_national_yearly!$D:$AM, 25, FALSE) / VLOOKUP("industry|SO2|Respiratory hospital admissions", US_national_yearly!$D:$AM, 10, FALSE), 1)</f>
        <v>4.4256561350222143E-4</v>
      </c>
      <c r="R12" s="7">
        <f>$B12 * IFERROR(VLOOKUP("industry|SO2|Respiratory hospital admissions", US_national_yearly!$D:$AM, 26, FALSE) / VLOOKUP("industry|SO2|Respiratory hospital admissions", US_national_yearly!$D:$AM, 10, FALSE), 1)</f>
        <v>4.4441577259142587E-4</v>
      </c>
      <c r="S12" s="7">
        <f>$B12 * IFERROR(VLOOKUP("industry|SO2|Respiratory hospital admissions", US_national_yearly!$D:$AM, 27, FALSE) / VLOOKUP("industry|SO2|Respiratory hospital admissions", US_national_yearly!$D:$AM, 10, FALSE), 1)</f>
        <v>4.4617406599497563E-4</v>
      </c>
      <c r="T12" s="7">
        <f>$B12 * IFERROR(VLOOKUP("industry|SO2|Respiratory hospital admissions", US_national_yearly!$D:$AM, 28, FALSE) / VLOOKUP("industry|SO2|Respiratory hospital admissions", US_national_yearly!$D:$AM, 10, FALSE), 1)</f>
        <v>4.4793235939852527E-4</v>
      </c>
      <c r="U12" s="7">
        <f>$B12 * IFERROR(VLOOKUP("industry|SO2|Respiratory hospital admissions", US_national_yearly!$D:$AM, 29, FALSE) / VLOOKUP("industry|SO2|Respiratory hospital admissions", US_national_yearly!$D:$AM, 10, FALSE), 1)</f>
        <v>4.4969065280207491E-4</v>
      </c>
      <c r="V12" s="7">
        <f>$B12 * IFERROR(VLOOKUP("industry|SO2|Respiratory hospital admissions", US_national_yearly!$D:$AM, 30, FALSE) / VLOOKUP("industry|SO2|Respiratory hospital admissions", US_national_yearly!$D:$AM, 10, FALSE), 1)</f>
        <v>4.5144894620562467E-4</v>
      </c>
      <c r="W12" s="7">
        <f>$B12 * IFERROR(VLOOKUP("industry|SO2|Respiratory hospital admissions", US_national_yearly!$D:$AM, 31, FALSE) / VLOOKUP("industry|SO2|Respiratory hospital admissions", US_national_yearly!$D:$AM, 10, FALSE), 1)</f>
        <v>4.5320723960917431E-4</v>
      </c>
      <c r="X12" s="7">
        <f>$B12 * IFERROR(VLOOKUP("industry|SO2|Respiratory hospital admissions", US_national_yearly!$D:$AM, 32, FALSE) / VLOOKUP("industry|SO2|Respiratory hospital admissions", US_national_yearly!$D:$AM, 10, FALSE), 1)</f>
        <v>4.5487694143807057E-4</v>
      </c>
      <c r="Y12" s="7">
        <f>$B12 * IFERROR(VLOOKUP("industry|SO2|Respiratory hospital admissions", US_national_yearly!$D:$AM, 33, FALSE) / VLOOKUP("industry|SO2|Respiratory hospital admissions", US_national_yearly!$D:$AM, 10, FALSE), 1)</f>
        <v>4.5654664326696682E-4</v>
      </c>
      <c r="Z12" s="7">
        <f>$B12 * IFERROR(VLOOKUP("industry|SO2|Respiratory hospital admissions", US_national_yearly!$D:$AM, 34, FALSE) / VLOOKUP("industry|SO2|Respiratory hospital admissions", US_national_yearly!$D:$AM, 10, FALSE), 1)</f>
        <v>4.5821634509586308E-4</v>
      </c>
      <c r="AA12" s="7">
        <f>$B12 * IFERROR(VLOOKUP("industry|SO2|Respiratory hospital admissions", US_national_yearly!$D:$AM, 35, FALSE) / VLOOKUP("industry|SO2|Respiratory hospital admissions", US_national_yearly!$D:$AM, 10, FALSE), 1)</f>
        <v>4.5988604692475928E-4</v>
      </c>
      <c r="AB12" s="7">
        <f>$B12 * IFERROR(VLOOKUP("industry|SO2|Respiratory hospital admissions", US_national_yearly!$D:$AM, 36, FALSE) / VLOOKUP("industry|SO2|Respiratory hospital admissions", US_national_yearly!$D:$AM, 10, FALSE), 1)</f>
        <v>4.6155574875365559E-4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2.4809402213845306E-3</v>
      </c>
      <c r="C13" s="7">
        <f>$B13 * IFERROR(VLOOKUP("industry|SO2|Non-fatal heart attacks", US_national_yearly!$D:$AM, 11, FALSE) / VLOOKUP("industry|SO2|Non-fatal heart attacks", US_national_yearly!$D:$AM, 10, FALSE), 1)</f>
        <v>2.5537713229184644E-3</v>
      </c>
      <c r="D13" s="7">
        <f>$B13 * IFERROR(VLOOKUP("industry|SO2|Non-fatal heart attacks", US_national_yearly!$D:$AM, 12, FALSE) / VLOOKUP("industry|SO2|Non-fatal heart attacks", US_national_yearly!$D:$AM, 10, FALSE), 1)</f>
        <v>2.6266024244523982E-3</v>
      </c>
      <c r="E13" s="7">
        <f>$B13 * IFERROR(VLOOKUP("industry|SO2|Non-fatal heart attacks", US_national_yearly!$D:$AM, 13, FALSE) / VLOOKUP("industry|SO2|Non-fatal heart attacks", US_national_yearly!$D:$AM, 10, FALSE), 1)</f>
        <v>2.6994335259863315E-3</v>
      </c>
      <c r="F13" s="7">
        <f>$B13 * IFERROR(VLOOKUP("industry|SO2|Non-fatal heart attacks", US_national_yearly!$D:$AM, 14, FALSE) / VLOOKUP("industry|SO2|Non-fatal heart attacks", US_national_yearly!$D:$AM, 10, FALSE), 1)</f>
        <v>2.7722646275202658E-3</v>
      </c>
      <c r="G13" s="7">
        <f>$B13 * IFERROR(VLOOKUP("industry|SO2|Non-fatal heart attacks", US_national_yearly!$D:$AM, 15, FALSE) / VLOOKUP("industry|SO2|Non-fatal heart attacks", US_national_yearly!$D:$AM, 10, FALSE), 1)</f>
        <v>2.8409967846017362E-3</v>
      </c>
      <c r="H13" s="7">
        <f>$B13 * IFERROR(VLOOKUP("industry|SO2|Non-fatal heart attacks", US_national_yearly!$D:$AM, 16, FALSE) / VLOOKUP("industry|SO2|Non-fatal heart attacks", US_national_yearly!$D:$AM, 10, FALSE), 1)</f>
        <v>2.909728941683207E-3</v>
      </c>
      <c r="I13" s="7">
        <f>$B13 * IFERROR(VLOOKUP("industry|SO2|Non-fatal heart attacks", US_national_yearly!$D:$AM, 17, FALSE) / VLOOKUP("industry|SO2|Non-fatal heart attacks", US_national_yearly!$D:$AM, 10, FALSE), 1)</f>
        <v>2.9651389574181061E-3</v>
      </c>
      <c r="J13" s="7">
        <f>$B13 * IFERROR(VLOOKUP("industry|SO2|Non-fatal heart attacks", US_national_yearly!$D:$AM, 18, FALSE) / VLOOKUP("industry|SO2|Non-fatal heart attacks", US_national_yearly!$D:$AM, 10, FALSE), 1)</f>
        <v>3.020548973153007E-3</v>
      </c>
      <c r="K13" s="7">
        <f>$B13 * IFERROR(VLOOKUP("industry|SO2|Non-fatal heart attacks", US_national_yearly!$D:$AM, 19, FALSE) / VLOOKUP("industry|SO2|Non-fatal heart attacks", US_national_yearly!$D:$AM, 10, FALSE), 1)</f>
        <v>3.0759589888879066E-3</v>
      </c>
      <c r="L13" s="7">
        <f>$B13 * IFERROR(VLOOKUP("industry|SO2|Non-fatal heart attacks", US_national_yearly!$D:$AM, 20, FALSE) / VLOOKUP("industry|SO2|Non-fatal heart attacks", US_national_yearly!$D:$AM, 10, FALSE), 1)</f>
        <v>3.1313690046228066E-3</v>
      </c>
      <c r="M13" s="7">
        <f>$B13 * IFERROR(VLOOKUP("industry|SO2|Non-fatal heart attacks", US_national_yearly!$D:$AM, 21, FALSE) / VLOOKUP("industry|SO2|Non-fatal heart attacks", US_national_yearly!$D:$AM, 10, FALSE), 1)</f>
        <v>3.1867790203577067E-3</v>
      </c>
      <c r="N13" s="7">
        <f>$B13 * IFERROR(VLOOKUP("industry|SO2|Non-fatal heart attacks", US_national_yearly!$D:$AM, 22, FALSE) / VLOOKUP("industry|SO2|Non-fatal heart attacks", US_national_yearly!$D:$AM, 10, FALSE), 1)</f>
        <v>3.2227763185986363E-3</v>
      </c>
      <c r="O13" s="7">
        <f>$B13 * IFERROR(VLOOKUP("industry|SO2|Non-fatal heart attacks", US_national_yearly!$D:$AM, 23, FALSE) / VLOOKUP("industry|SO2|Non-fatal heart attacks", US_national_yearly!$D:$AM, 10, FALSE), 1)</f>
        <v>3.2587736168395672E-3</v>
      </c>
      <c r="P13" s="7">
        <f>$B13 * IFERROR(VLOOKUP("industry|SO2|Non-fatal heart attacks", US_national_yearly!$D:$AM, 24, FALSE) / VLOOKUP("industry|SO2|Non-fatal heart attacks", US_national_yearly!$D:$AM, 10, FALSE), 1)</f>
        <v>3.2947709150804969E-3</v>
      </c>
      <c r="Q13" s="7">
        <f>$B13 * IFERROR(VLOOKUP("industry|SO2|Non-fatal heart attacks", US_national_yearly!$D:$AM, 25, FALSE) / VLOOKUP("industry|SO2|Non-fatal heart attacks", US_national_yearly!$D:$AM, 10, FALSE), 1)</f>
        <v>3.3307682133214265E-3</v>
      </c>
      <c r="R13" s="7">
        <f>$B13 * IFERROR(VLOOKUP("industry|SO2|Non-fatal heart attacks", US_national_yearly!$D:$AM, 26, FALSE) / VLOOKUP("industry|SO2|Non-fatal heart attacks", US_national_yearly!$D:$AM, 10, FALSE), 1)</f>
        <v>3.3667655115623566E-3</v>
      </c>
      <c r="S13" s="7">
        <f>$B13 * IFERROR(VLOOKUP("industry|SO2|Non-fatal heart attacks", US_national_yearly!$D:$AM, 27, FALSE) / VLOOKUP("industry|SO2|Non-fatal heart attacks", US_national_yearly!$D:$AM, 10, FALSE), 1)</f>
        <v>3.3856718218655975E-3</v>
      </c>
      <c r="T13" s="7">
        <f>$B13 * IFERROR(VLOOKUP("industry|SO2|Non-fatal heart attacks", US_national_yearly!$D:$AM, 28, FALSE) / VLOOKUP("industry|SO2|Non-fatal heart attacks", US_national_yearly!$D:$AM, 10, FALSE), 1)</f>
        <v>3.4045781321688381E-3</v>
      </c>
      <c r="U13" s="7">
        <f>$B13 * IFERROR(VLOOKUP("industry|SO2|Non-fatal heart attacks", US_national_yearly!$D:$AM, 29, FALSE) / VLOOKUP("industry|SO2|Non-fatal heart attacks", US_national_yearly!$D:$AM, 10, FALSE), 1)</f>
        <v>3.4234844424720786E-3</v>
      </c>
      <c r="V13" s="7">
        <f>$B13 * IFERROR(VLOOKUP("industry|SO2|Non-fatal heart attacks", US_national_yearly!$D:$AM, 30, FALSE) / VLOOKUP("industry|SO2|Non-fatal heart attacks", US_national_yearly!$D:$AM, 10, FALSE), 1)</f>
        <v>3.4423907527753195E-3</v>
      </c>
      <c r="W13" s="7">
        <f>$B13 * IFERROR(VLOOKUP("industry|SO2|Non-fatal heart attacks", US_national_yearly!$D:$AM, 31, FALSE) / VLOOKUP("industry|SO2|Non-fatal heart attacks", US_national_yearly!$D:$AM, 10, FALSE), 1)</f>
        <v>3.4612970630785601E-3</v>
      </c>
      <c r="X13" s="7">
        <f>$B13 * IFERROR(VLOOKUP("industry|SO2|Non-fatal heart attacks", US_national_yearly!$D:$AM, 32, FALSE) / VLOOKUP("industry|SO2|Non-fatal heart attacks", US_national_yearly!$D:$AM, 10, FALSE), 1)</f>
        <v>3.4756558601726213E-3</v>
      </c>
      <c r="Y13" s="7">
        <f>$B13 * IFERROR(VLOOKUP("industry|SO2|Non-fatal heart attacks", US_national_yearly!$D:$AM, 33, FALSE) / VLOOKUP("industry|SO2|Non-fatal heart attacks", US_national_yearly!$D:$AM, 10, FALSE), 1)</f>
        <v>3.490014657266683E-3</v>
      </c>
      <c r="Z13" s="7">
        <f>$B13 * IFERROR(VLOOKUP("industry|SO2|Non-fatal heart attacks", US_national_yearly!$D:$AM, 34, FALSE) / VLOOKUP("industry|SO2|Non-fatal heart attacks", US_national_yearly!$D:$AM, 10, FALSE), 1)</f>
        <v>3.5043734543607442E-3</v>
      </c>
      <c r="AA13" s="7">
        <f>$B13 * IFERROR(VLOOKUP("industry|SO2|Non-fatal heart attacks", US_national_yearly!$D:$AM, 35, FALSE) / VLOOKUP("industry|SO2|Non-fatal heart attacks", US_national_yearly!$D:$AM, 10, FALSE), 1)</f>
        <v>3.5187322514548063E-3</v>
      </c>
      <c r="AB13" s="7">
        <f>$B13 * IFERROR(VLOOKUP("industry|SO2|Non-fatal heart attacks", US_national_yearly!$D:$AM, 36, FALSE) / VLOOKUP("industry|SO2|Non-fatal heart attacks", US_national_yearly!$D:$AM, 10, FALSE), 1)</f>
        <v>3.5330910485488675E-3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2.2429441155945966</v>
      </c>
      <c r="C14" s="7">
        <f>$B14 * IFERROR(VLOOKUP("industry|SO2|Minor restricted activity days", US_national_yearly!$D:$AM, 11, FALSE) / VLOOKUP("industry|SO2|Minor restricted activity days", US_national_yearly!$D:$AM, 10, FALSE), 1)</f>
        <v>2.2485545914356271</v>
      </c>
      <c r="D14" s="7">
        <f>$B14 * IFERROR(VLOOKUP("industry|SO2|Minor restricted activity days", US_national_yearly!$D:$AM, 12, FALSE) / VLOOKUP("industry|SO2|Minor restricted activity days", US_national_yearly!$D:$AM, 10, FALSE), 1)</f>
        <v>2.2541650672766567</v>
      </c>
      <c r="E14" s="7">
        <f>$B14 * IFERROR(VLOOKUP("industry|SO2|Minor restricted activity days", US_national_yearly!$D:$AM, 13, FALSE) / VLOOKUP("industry|SO2|Minor restricted activity days", US_national_yearly!$D:$AM, 10, FALSE), 1)</f>
        <v>2.2597755431176871</v>
      </c>
      <c r="F14" s="7">
        <f>$B14 * IFERROR(VLOOKUP("industry|SO2|Minor restricted activity days", US_national_yearly!$D:$AM, 14, FALSE) / VLOOKUP("industry|SO2|Minor restricted activity days", US_national_yearly!$D:$AM, 10, FALSE), 1)</f>
        <v>2.2653860189587176</v>
      </c>
      <c r="G14" s="7">
        <f>$B14 * IFERROR(VLOOKUP("industry|SO2|Minor restricted activity days", US_national_yearly!$D:$AM, 15, FALSE) / VLOOKUP("industry|SO2|Minor restricted activity days", US_national_yearly!$D:$AM, 10, FALSE), 1)</f>
        <v>2.2736395635278925</v>
      </c>
      <c r="H14" s="7">
        <f>$B14 * IFERROR(VLOOKUP("industry|SO2|Minor restricted activity days", US_national_yearly!$D:$AM, 16, FALSE) / VLOOKUP("industry|SO2|Minor restricted activity days", US_national_yearly!$D:$AM, 10, FALSE), 1)</f>
        <v>2.281893108097067</v>
      </c>
      <c r="I14" s="7">
        <f>$B14 * IFERROR(VLOOKUP("industry|SO2|Minor restricted activity days", US_national_yearly!$D:$AM, 17, FALSE) / VLOOKUP("industry|SO2|Minor restricted activity days", US_national_yearly!$D:$AM, 10, FALSE), 1)</f>
        <v>2.2959678980965115</v>
      </c>
      <c r="J14" s="7">
        <f>$B14 * IFERROR(VLOOKUP("industry|SO2|Minor restricted activity days", US_national_yearly!$D:$AM, 18, FALSE) / VLOOKUP("industry|SO2|Minor restricted activity days", US_national_yearly!$D:$AM, 10, FALSE), 1)</f>
        <v>2.3100426880959559</v>
      </c>
      <c r="K14" s="7">
        <f>$B14 * IFERROR(VLOOKUP("industry|SO2|Minor restricted activity days", US_national_yearly!$D:$AM, 19, FALSE) / VLOOKUP("industry|SO2|Minor restricted activity days", US_national_yearly!$D:$AM, 10, FALSE), 1)</f>
        <v>2.3241174780953999</v>
      </c>
      <c r="L14" s="7">
        <f>$B14 * IFERROR(VLOOKUP("industry|SO2|Minor restricted activity days", US_national_yearly!$D:$AM, 20, FALSE) / VLOOKUP("industry|SO2|Minor restricted activity days", US_national_yearly!$D:$AM, 10, FALSE), 1)</f>
        <v>2.3381922680948444</v>
      </c>
      <c r="M14" s="7">
        <f>$B14 * IFERROR(VLOOKUP("industry|SO2|Minor restricted activity days", US_national_yearly!$D:$AM, 21, FALSE) / VLOOKUP("industry|SO2|Minor restricted activity days", US_national_yearly!$D:$AM, 10, FALSE), 1)</f>
        <v>2.3522670580942884</v>
      </c>
      <c r="N14" s="7">
        <f>$B14 * IFERROR(VLOOKUP("industry|SO2|Minor restricted activity days", US_national_yearly!$D:$AM, 22, FALSE) / VLOOKUP("industry|SO2|Minor restricted activity days", US_national_yearly!$D:$AM, 10, FALSE), 1)</f>
        <v>2.3715652879193683</v>
      </c>
      <c r="O14" s="7">
        <f>$B14 * IFERROR(VLOOKUP("industry|SO2|Minor restricted activity days", US_national_yearly!$D:$AM, 23, FALSE) / VLOOKUP("industry|SO2|Minor restricted activity days", US_national_yearly!$D:$AM, 10, FALSE), 1)</f>
        <v>2.3908635177444482</v>
      </c>
      <c r="P14" s="7">
        <f>$B14 * IFERROR(VLOOKUP("industry|SO2|Minor restricted activity days", US_national_yearly!$D:$AM, 24, FALSE) / VLOOKUP("industry|SO2|Minor restricted activity days", US_national_yearly!$D:$AM, 10, FALSE), 1)</f>
        <v>2.4101617475695276</v>
      </c>
      <c r="Q14" s="7">
        <f>$B14 * IFERROR(VLOOKUP("industry|SO2|Minor restricted activity days", US_national_yearly!$D:$AM, 25, FALSE) / VLOOKUP("industry|SO2|Minor restricted activity days", US_national_yearly!$D:$AM, 10, FALSE), 1)</f>
        <v>2.429459977394608</v>
      </c>
      <c r="R14" s="7">
        <f>$B14 * IFERROR(VLOOKUP("industry|SO2|Minor restricted activity days", US_national_yearly!$D:$AM, 26, FALSE) / VLOOKUP("industry|SO2|Minor restricted activity days", US_national_yearly!$D:$AM, 10, FALSE), 1)</f>
        <v>2.4487582072196878</v>
      </c>
      <c r="S14" s="7">
        <f>$B14 * IFERROR(VLOOKUP("industry|SO2|Minor restricted activity days", US_national_yearly!$D:$AM, 27, FALSE) / VLOOKUP("industry|SO2|Minor restricted activity days", US_national_yearly!$D:$AM, 10, FALSE), 1)</f>
        <v>2.4684536093195111</v>
      </c>
      <c r="T14" s="7">
        <f>$B14 * IFERROR(VLOOKUP("industry|SO2|Minor restricted activity days", US_national_yearly!$D:$AM, 28, FALSE) / VLOOKUP("industry|SO2|Minor restricted activity days", US_national_yearly!$D:$AM, 10, FALSE), 1)</f>
        <v>2.4881490114193348</v>
      </c>
      <c r="U14" s="7">
        <f>$B14 * IFERROR(VLOOKUP("industry|SO2|Minor restricted activity days", US_national_yearly!$D:$AM, 29, FALSE) / VLOOKUP("industry|SO2|Minor restricted activity days", US_national_yearly!$D:$AM, 10, FALSE), 1)</f>
        <v>2.5078444135191584</v>
      </c>
      <c r="V14" s="7">
        <f>$B14 * IFERROR(VLOOKUP("industry|SO2|Minor restricted activity days", US_national_yearly!$D:$AM, 30, FALSE) / VLOOKUP("industry|SO2|Minor restricted activity days", US_national_yearly!$D:$AM, 10, FALSE), 1)</f>
        <v>2.5275398156189821</v>
      </c>
      <c r="W14" s="7">
        <f>$B14 * IFERROR(VLOOKUP("industry|SO2|Minor restricted activity days", US_national_yearly!$D:$AM, 31, FALSE) / VLOOKUP("industry|SO2|Minor restricted activity days", US_national_yearly!$D:$AM, 10, FALSE), 1)</f>
        <v>2.5472352177188053</v>
      </c>
      <c r="X14" s="7">
        <f>$B14 * IFERROR(VLOOKUP("industry|SO2|Minor restricted activity days", US_national_yearly!$D:$AM, 32, FALSE) / VLOOKUP("industry|SO2|Minor restricted activity days", US_national_yearly!$D:$AM, 10, FALSE), 1)</f>
        <v>2.5645532293377826</v>
      </c>
      <c r="Y14" s="7">
        <f>$B14 * IFERROR(VLOOKUP("industry|SO2|Minor restricted activity days", US_national_yearly!$D:$AM, 33, FALSE) / VLOOKUP("industry|SO2|Minor restricted activity days", US_national_yearly!$D:$AM, 10, FALSE), 1)</f>
        <v>2.5818712409567595</v>
      </c>
      <c r="Z14" s="7">
        <f>$B14 * IFERROR(VLOOKUP("industry|SO2|Minor restricted activity days", US_national_yearly!$D:$AM, 34, FALSE) / VLOOKUP("industry|SO2|Minor restricted activity days", US_national_yearly!$D:$AM, 10, FALSE), 1)</f>
        <v>2.5991892525757359</v>
      </c>
      <c r="AA14" s="7">
        <f>$B14 * IFERROR(VLOOKUP("industry|SO2|Minor restricted activity days", US_national_yearly!$D:$AM, 35, FALSE) / VLOOKUP("industry|SO2|Minor restricted activity days", US_national_yearly!$D:$AM, 10, FALSE), 1)</f>
        <v>2.6165072641947127</v>
      </c>
      <c r="AB14" s="7">
        <f>$B14 * IFERROR(VLOOKUP("industry|SO2|Minor restricted activity days", US_national_yearly!$D:$AM, 36, FALSE) / VLOOKUP("industry|SO2|Minor restricted activity days", US_national_yearly!$D:$AM, 10, FALSE), 1)</f>
        <v>2.6338252758136895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0.38215272088411595</v>
      </c>
      <c r="C15" s="7">
        <f>$B15 * IFERROR(VLOOKUP("industry|SO2|Work loss days", US_national_yearly!$D:$AM, 11, FALSE) / VLOOKUP("industry|SO2|Work loss days", US_national_yearly!$D:$AM, 10, FALSE), 1)</f>
        <v>0.38338168086006075</v>
      </c>
      <c r="D15" s="7">
        <f>$B15 * IFERROR(VLOOKUP("industry|SO2|Work loss days", US_national_yearly!$D:$AM, 12, FALSE) / VLOOKUP("industry|SO2|Work loss days", US_national_yearly!$D:$AM, 10, FALSE), 1)</f>
        <v>0.38461064083600571</v>
      </c>
      <c r="E15" s="7">
        <f>$B15 * IFERROR(VLOOKUP("industry|SO2|Work loss days", US_national_yearly!$D:$AM, 13, FALSE) / VLOOKUP("industry|SO2|Work loss days", US_national_yearly!$D:$AM, 10, FALSE), 1)</f>
        <v>0.38583960081195051</v>
      </c>
      <c r="F15" s="7">
        <f>$B15 * IFERROR(VLOOKUP("industry|SO2|Work loss days", US_national_yearly!$D:$AM, 14, FALSE) / VLOOKUP("industry|SO2|Work loss days", US_national_yearly!$D:$AM, 10, FALSE), 1)</f>
        <v>0.38706856078789553</v>
      </c>
      <c r="G15" s="7">
        <f>$B15 * IFERROR(VLOOKUP("industry|SO2|Work loss days", US_national_yearly!$D:$AM, 15, FALSE) / VLOOKUP("industry|SO2|Work loss days", US_national_yearly!$D:$AM, 10, FALSE), 1)</f>
        <v>0.38867268566844621</v>
      </c>
      <c r="H15" s="7">
        <f>$B15 * IFERROR(VLOOKUP("industry|SO2|Work loss days", US_national_yearly!$D:$AM, 16, FALSE) / VLOOKUP("industry|SO2|Work loss days", US_national_yearly!$D:$AM, 10, FALSE), 1)</f>
        <v>0.39027681054899699</v>
      </c>
      <c r="I15" s="7">
        <f>$B15 * IFERROR(VLOOKUP("industry|SO2|Work loss days", US_national_yearly!$D:$AM, 17, FALSE) / VLOOKUP("industry|SO2|Work loss days", US_national_yearly!$D:$AM, 10, FALSE), 1)</f>
        <v>0.39262158910463851</v>
      </c>
      <c r="J15" s="7">
        <f>$B15 * IFERROR(VLOOKUP("industry|SO2|Work loss days", US_national_yearly!$D:$AM, 18, FALSE) / VLOOKUP("industry|SO2|Work loss days", US_national_yearly!$D:$AM, 10, FALSE), 1)</f>
        <v>0.39496636766027993</v>
      </c>
      <c r="K15" s="7">
        <f>$B15 * IFERROR(VLOOKUP("industry|SO2|Work loss days", US_national_yearly!$D:$AM, 19, FALSE) / VLOOKUP("industry|SO2|Work loss days", US_national_yearly!$D:$AM, 10, FALSE), 1)</f>
        <v>0.3973111462159214</v>
      </c>
      <c r="L15" s="7">
        <f>$B15 * IFERROR(VLOOKUP("industry|SO2|Work loss days", US_national_yearly!$D:$AM, 20, FALSE) / VLOOKUP("industry|SO2|Work loss days", US_national_yearly!$D:$AM, 10, FALSE), 1)</f>
        <v>0.39965592477156292</v>
      </c>
      <c r="M15" s="7">
        <f>$B15 * IFERROR(VLOOKUP("industry|SO2|Work loss days", US_national_yearly!$D:$AM, 21, FALSE) / VLOOKUP("industry|SO2|Work loss days", US_national_yearly!$D:$AM, 10, FALSE), 1)</f>
        <v>0.40200070332720433</v>
      </c>
      <c r="N15" s="7">
        <f>$B15 * IFERROR(VLOOKUP("industry|SO2|Work loss days", US_national_yearly!$D:$AM, 22, FALSE) / VLOOKUP("industry|SO2|Work loss days", US_national_yearly!$D:$AM, 10, FALSE), 1)</f>
        <v>0.40494774477491158</v>
      </c>
      <c r="O15" s="7">
        <f>$B15 * IFERROR(VLOOKUP("industry|SO2|Work loss days", US_national_yearly!$D:$AM, 23, FALSE) / VLOOKUP("industry|SO2|Work loss days", US_national_yearly!$D:$AM, 10, FALSE), 1)</f>
        <v>0.40789478622261877</v>
      </c>
      <c r="P15" s="7">
        <f>$B15 * IFERROR(VLOOKUP("industry|SO2|Work loss days", US_national_yearly!$D:$AM, 24, FALSE) / VLOOKUP("industry|SO2|Work loss days", US_national_yearly!$D:$AM, 10, FALSE), 1)</f>
        <v>0.41084182767032595</v>
      </c>
      <c r="Q15" s="7">
        <f>$B15 * IFERROR(VLOOKUP("industry|SO2|Work loss days", US_national_yearly!$D:$AM, 25, FALSE) / VLOOKUP("industry|SO2|Work loss days", US_national_yearly!$D:$AM, 10, FALSE), 1)</f>
        <v>0.41378886911803314</v>
      </c>
      <c r="R15" s="7">
        <f>$B15 * IFERROR(VLOOKUP("industry|SO2|Work loss days", US_national_yearly!$D:$AM, 26, FALSE) / VLOOKUP("industry|SO2|Work loss days", US_national_yearly!$D:$AM, 10, FALSE), 1)</f>
        <v>0.41673591056574033</v>
      </c>
      <c r="S15" s="7">
        <f>$B15 * IFERROR(VLOOKUP("industry|SO2|Work loss days", US_national_yearly!$D:$AM, 27, FALSE) / VLOOKUP("industry|SO2|Work loss days", US_national_yearly!$D:$AM, 10, FALSE), 1)</f>
        <v>0.42003352849042674</v>
      </c>
      <c r="T15" s="7">
        <f>$B15 * IFERROR(VLOOKUP("industry|SO2|Work loss days", US_national_yearly!$D:$AM, 28, FALSE) / VLOOKUP("industry|SO2|Work loss days", US_national_yearly!$D:$AM, 10, FALSE), 1)</f>
        <v>0.42333114641511321</v>
      </c>
      <c r="U15" s="7">
        <f>$B15 * IFERROR(VLOOKUP("industry|SO2|Work loss days", US_national_yearly!$D:$AM, 29, FALSE) / VLOOKUP("industry|SO2|Work loss days", US_national_yearly!$D:$AM, 10, FALSE), 1)</f>
        <v>0.42662876433979979</v>
      </c>
      <c r="V15" s="7">
        <f>$B15 * IFERROR(VLOOKUP("industry|SO2|Work loss days", US_national_yearly!$D:$AM, 30, FALSE) / VLOOKUP("industry|SO2|Work loss days", US_national_yearly!$D:$AM, 10, FALSE), 1)</f>
        <v>0.42992638226448621</v>
      </c>
      <c r="W15" s="7">
        <f>$B15 * IFERROR(VLOOKUP("industry|SO2|Work loss days", US_national_yearly!$D:$AM, 31, FALSE) / VLOOKUP("industry|SO2|Work loss days", US_national_yearly!$D:$AM, 10, FALSE), 1)</f>
        <v>0.43322400018917273</v>
      </c>
      <c r="X15" s="7">
        <f>$B15 * IFERROR(VLOOKUP("industry|SO2|Work loss days", US_national_yearly!$D:$AM, 32, FALSE) / VLOOKUP("industry|SO2|Work loss days", US_national_yearly!$D:$AM, 10, FALSE), 1)</f>
        <v>0.43618583122275667</v>
      </c>
      <c r="Y15" s="7">
        <f>$B15 * IFERROR(VLOOKUP("industry|SO2|Work loss days", US_national_yearly!$D:$AM, 33, FALSE) / VLOOKUP("industry|SO2|Work loss days", US_national_yearly!$D:$AM, 10, FALSE), 1)</f>
        <v>0.43914766225634072</v>
      </c>
      <c r="Z15" s="7">
        <f>$B15 * IFERROR(VLOOKUP("industry|SO2|Work loss days", US_national_yearly!$D:$AM, 34, FALSE) / VLOOKUP("industry|SO2|Work loss days", US_national_yearly!$D:$AM, 10, FALSE), 1)</f>
        <v>0.44210949328992466</v>
      </c>
      <c r="AA15" s="7">
        <f>$B15 * IFERROR(VLOOKUP("industry|SO2|Work loss days", US_national_yearly!$D:$AM, 35, FALSE) / VLOOKUP("industry|SO2|Work loss days", US_national_yearly!$D:$AM, 10, FALSE), 1)</f>
        <v>0.44507132432350871</v>
      </c>
      <c r="AB15" s="7">
        <f>$B15 * IFERROR(VLOOKUP("industry|SO2|Work loss days", US_national_yearly!$D:$AM, 36, FALSE) / VLOOKUP("industry|SO2|Work loss days", US_national_yearly!$D:$AM, 10, FALSE), 1)</f>
        <v>0.44803315535709265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6.1230651960512245E-4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6.308209521661706E-4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6.4933538472721885E-4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6.6784981728826721E-4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6.8636424984931546E-4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7.0410775423006635E-4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7.2185125861081736E-4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7.3707580668543288E-4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7.523003547600485E-4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7.6752490283466413E-4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7.8274945090927987E-4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7.9797399898389539E-4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8.0820267565428637E-4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8.1843135232467735E-4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8.2866002899506823E-4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8.3888870566545921E-4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8.4911738233585019E-4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8.5452591000963402E-4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8.5993443768341807E-4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8.653429653572019E-4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8.7075149303098595E-4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8.7616002070476978E-4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8.7981761941476066E-4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8.8347521812475154E-4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8.8713281683474264E-4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8.9079041554473363E-4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8.9444801425472441E-4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4.1516043125801858E-4</v>
      </c>
      <c r="C2" s="7">
        <f>$B2 * IFERROR(VLOOKUP("LULUCF|PM25|Premature mortality", US_national_yearly!$D:$AM, 11, FALSE) / VLOOKUP("LULUCF|PM25|Premature mortality", US_national_yearly!$D:$AM, 10, FALSE), 1)</f>
        <v>4.2030751078728955E-4</v>
      </c>
      <c r="D2" s="7">
        <f>$B2 * IFERROR(VLOOKUP("LULUCF|PM25|Premature mortality", US_national_yearly!$D:$AM, 12, FALSE) / VLOOKUP("LULUCF|PM25|Premature mortality", US_national_yearly!$D:$AM, 10, FALSE), 1)</f>
        <v>4.2545459031656041E-4</v>
      </c>
      <c r="E2" s="7">
        <f>$B2 * IFERROR(VLOOKUP("LULUCF|PM25|Premature mortality", US_national_yearly!$D:$AM, 13, FALSE) / VLOOKUP("LULUCF|PM25|Premature mortality", US_national_yearly!$D:$AM, 10, FALSE), 1)</f>
        <v>4.3060166984583133E-4</v>
      </c>
      <c r="F2" s="7">
        <f>$B2 * IFERROR(VLOOKUP("LULUCF|PM25|Premature mortality", US_national_yearly!$D:$AM, 14, FALSE) / VLOOKUP("LULUCF|PM25|Premature mortality", US_national_yearly!$D:$AM, 10, FALSE), 1)</f>
        <v>4.3574874937510219E-4</v>
      </c>
      <c r="G2" s="7">
        <f>$B2 * IFERROR(VLOOKUP("LULUCF|PM25|Premature mortality", US_national_yearly!$D:$AM, 15, FALSE) / VLOOKUP("LULUCF|PM25|Premature mortality", US_national_yearly!$D:$AM, 10, FALSE), 1)</f>
        <v>4.4577264794000237E-4</v>
      </c>
      <c r="H2" s="7">
        <f>$B2 * IFERROR(VLOOKUP("LULUCF|PM25|Premature mortality", US_national_yearly!$D:$AM, 16, FALSE) / VLOOKUP("LULUCF|PM25|Premature mortality", US_national_yearly!$D:$AM, 10, FALSE), 1)</f>
        <v>4.5579654650490254E-4</v>
      </c>
      <c r="I2" s="7">
        <f>$B2 * IFERROR(VLOOKUP("LULUCF|PM25|Premature mortality", US_national_yearly!$D:$AM, 17, FALSE) / VLOOKUP("LULUCF|PM25|Premature mortality", US_national_yearly!$D:$AM, 10, FALSE), 1)</f>
        <v>4.6238066503969663E-4</v>
      </c>
      <c r="J2" s="7">
        <f>$B2 * IFERROR(VLOOKUP("LULUCF|PM25|Premature mortality", US_national_yearly!$D:$AM, 18, FALSE) / VLOOKUP("LULUCF|PM25|Premature mortality", US_national_yearly!$D:$AM, 10, FALSE), 1)</f>
        <v>4.6896478357449093E-4</v>
      </c>
      <c r="K2" s="7">
        <f>$B2 * IFERROR(VLOOKUP("LULUCF|PM25|Premature mortality", US_national_yearly!$D:$AM, 19, FALSE) / VLOOKUP("LULUCF|PM25|Premature mortality", US_national_yearly!$D:$AM, 10, FALSE), 1)</f>
        <v>4.7554890210928507E-4</v>
      </c>
      <c r="L2" s="7">
        <f>$B2 * IFERROR(VLOOKUP("LULUCF|PM25|Premature mortality", US_national_yearly!$D:$AM, 20, FALSE) / VLOOKUP("LULUCF|PM25|Premature mortality", US_national_yearly!$D:$AM, 10, FALSE), 1)</f>
        <v>4.8213302064407931E-4</v>
      </c>
      <c r="M2" s="7">
        <f>$B2 * IFERROR(VLOOKUP("LULUCF|PM25|Premature mortality", US_national_yearly!$D:$AM, 21, FALSE) / VLOOKUP("LULUCF|PM25|Premature mortality", US_national_yearly!$D:$AM, 10, FALSE), 1)</f>
        <v>4.8871713917887356E-4</v>
      </c>
      <c r="N2" s="7">
        <f>$B2 * IFERROR(VLOOKUP("LULUCF|PM25|Premature mortality", US_national_yearly!$D:$AM, 22, FALSE) / VLOOKUP("LULUCF|PM25|Premature mortality", US_national_yearly!$D:$AM, 10, FALSE), 1)</f>
        <v>4.9382928818124166E-4</v>
      </c>
      <c r="O2" s="7">
        <f>$B2 * IFERROR(VLOOKUP("LULUCF|PM25|Premature mortality", US_national_yearly!$D:$AM, 23, FALSE) / VLOOKUP("LULUCF|PM25|Premature mortality", US_national_yearly!$D:$AM, 10, FALSE), 1)</f>
        <v>4.9894143718360988E-4</v>
      </c>
      <c r="P2" s="7">
        <f>$B2 * IFERROR(VLOOKUP("LULUCF|PM25|Premature mortality", US_national_yearly!$D:$AM, 24, FALSE) / VLOOKUP("LULUCF|PM25|Premature mortality", US_national_yearly!$D:$AM, 10, FALSE), 1)</f>
        <v>5.0405358618597809E-4</v>
      </c>
      <c r="Q2" s="7">
        <f>$B2 * IFERROR(VLOOKUP("LULUCF|PM25|Premature mortality", US_national_yearly!$D:$AM, 25, FALSE) / VLOOKUP("LULUCF|PM25|Premature mortality", US_national_yearly!$D:$AM, 10, FALSE), 1)</f>
        <v>5.0916573518834619E-4</v>
      </c>
      <c r="R2" s="7">
        <f>$B2 * IFERROR(VLOOKUP("LULUCF|PM25|Premature mortality", US_national_yearly!$D:$AM, 26, FALSE) / VLOOKUP("LULUCF|PM25|Premature mortality", US_national_yearly!$D:$AM, 10, FALSE), 1)</f>
        <v>5.1427788419071451E-4</v>
      </c>
      <c r="S2" s="7">
        <f>$B2 * IFERROR(VLOOKUP("LULUCF|PM25|Premature mortality", US_national_yearly!$D:$AM, 27, FALSE) / VLOOKUP("LULUCF|PM25|Premature mortality", US_national_yearly!$D:$AM, 10, FALSE), 1)</f>
        <v>5.1698614884515982E-4</v>
      </c>
      <c r="T2" s="7">
        <f>$B2 * IFERROR(VLOOKUP("LULUCF|PM25|Premature mortality", US_national_yearly!$D:$AM, 28, FALSE) / VLOOKUP("LULUCF|PM25|Premature mortality", US_national_yearly!$D:$AM, 10, FALSE), 1)</f>
        <v>5.1969441349960501E-4</v>
      </c>
      <c r="U2" s="7">
        <f>$B2 * IFERROR(VLOOKUP("LULUCF|PM25|Premature mortality", US_national_yearly!$D:$AM, 29, FALSE) / VLOOKUP("LULUCF|PM25|Premature mortality", US_national_yearly!$D:$AM, 10, FALSE), 1)</f>
        <v>5.2240267815405021E-4</v>
      </c>
      <c r="V2" s="7">
        <f>$B2 * IFERROR(VLOOKUP("LULUCF|PM25|Premature mortality", US_national_yearly!$D:$AM, 30, FALSE) / VLOOKUP("LULUCF|PM25|Premature mortality", US_national_yearly!$D:$AM, 10, FALSE), 1)</f>
        <v>5.2511094280849552E-4</v>
      </c>
      <c r="W2" s="7">
        <f>$B2 * IFERROR(VLOOKUP("LULUCF|PM25|Premature mortality", US_national_yearly!$D:$AM, 31, FALSE) / VLOOKUP("LULUCF|PM25|Premature mortality", US_national_yearly!$D:$AM, 10, FALSE), 1)</f>
        <v>5.2781920746294072E-4</v>
      </c>
      <c r="X2" s="7">
        <f>$B2 * IFERROR(VLOOKUP("LULUCF|PM25|Premature mortality", US_national_yearly!$D:$AM, 32, FALSE) / VLOOKUP("LULUCF|PM25|Premature mortality", US_national_yearly!$D:$AM, 10, FALSE), 1)</f>
        <v>5.2829276848764882E-4</v>
      </c>
      <c r="Y2" s="7">
        <f>$B2 * IFERROR(VLOOKUP("LULUCF|PM25|Premature mortality", US_national_yearly!$D:$AM, 33, FALSE) / VLOOKUP("LULUCF|PM25|Premature mortality", US_national_yearly!$D:$AM, 10, FALSE), 1)</f>
        <v>5.2876632951235714E-4</v>
      </c>
      <c r="Z2" s="7">
        <f>$B2 * IFERROR(VLOOKUP("LULUCF|PM25|Premature mortality", US_national_yearly!$D:$AM, 34, FALSE) / VLOOKUP("LULUCF|PM25|Premature mortality", US_national_yearly!$D:$AM, 10, FALSE), 1)</f>
        <v>5.2923989053706524E-4</v>
      </c>
      <c r="AA2" s="7">
        <f>$B2 * IFERROR(VLOOKUP("LULUCF|PM25|Premature mortality", US_national_yearly!$D:$AM, 35, FALSE) / VLOOKUP("LULUCF|PM25|Premature mortality", US_national_yearly!$D:$AM, 10, FALSE), 1)</f>
        <v>5.2971345156177345E-4</v>
      </c>
      <c r="AB2" s="7">
        <f>$B2 * IFERROR(VLOOKUP("LULUCF|PM25|Premature mortality", US_national_yearly!$D:$AM, 36, FALSE) / VLOOKUP("LULUCF|PM25|Premature mortality", US_national_yearly!$D:$AM, 10, FALSE), 1)</f>
        <v>5.3018701258648166E-4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1.5688178501891235E-6</v>
      </c>
      <c r="C3" s="7">
        <f>$B3 * IFERROR(VLOOKUP("LULUCF|PM25|Infant mortality", US_national_yearly!$D:$AM, 11, FALSE) / VLOOKUP("LULUCF|PM25|Infant mortality", US_national_yearly!$D:$AM, 10, FALSE), 1)</f>
        <v>1.5551391900919664E-6</v>
      </c>
      <c r="D3" s="7">
        <f>$B3 * IFERROR(VLOOKUP("LULUCF|PM25|Infant mortality", US_national_yearly!$D:$AM, 12, FALSE) / VLOOKUP("LULUCF|PM25|Infant mortality", US_national_yearly!$D:$AM, 10, FALSE), 1)</f>
        <v>1.5414605299948093E-6</v>
      </c>
      <c r="E3" s="7">
        <f>$B3 * IFERROR(VLOOKUP("LULUCF|PM25|Infant mortality", US_national_yearly!$D:$AM, 13, FALSE) / VLOOKUP("LULUCF|PM25|Infant mortality", US_national_yearly!$D:$AM, 10, FALSE), 1)</f>
        <v>1.5277818698976525E-6</v>
      </c>
      <c r="F3" s="7">
        <f>$B3 * IFERROR(VLOOKUP("LULUCF|PM25|Infant mortality", US_national_yearly!$D:$AM, 14, FALSE) / VLOOKUP("LULUCF|PM25|Infant mortality", US_national_yearly!$D:$AM, 10, FALSE), 1)</f>
        <v>1.514103209800495E-6</v>
      </c>
      <c r="G3" s="7">
        <f>$B3 * IFERROR(VLOOKUP("LULUCF|PM25|Infant mortality", US_national_yearly!$D:$AM, 15, FALSE) / VLOOKUP("LULUCF|PM25|Infant mortality", US_national_yearly!$D:$AM, 10, FALSE), 1)</f>
        <v>1.0069596268597343E-6</v>
      </c>
      <c r="H3" s="7">
        <f>$B3 * IFERROR(VLOOKUP("LULUCF|PM25|Infant mortality", US_national_yearly!$D:$AM, 16, FALSE) / VLOOKUP("LULUCF|PM25|Infant mortality", US_national_yearly!$D:$AM, 10, FALSE), 1)</f>
        <v>4.998160439189735E-7</v>
      </c>
      <c r="I3" s="7">
        <f>$B3 * IFERROR(VLOOKUP("LULUCF|PM25|Infant mortality", US_national_yearly!$D:$AM, 17, FALSE) / VLOOKUP("LULUCF|PM25|Infant mortality", US_national_yearly!$D:$AM, 10, FALSE), 1)</f>
        <v>4.9654892044948749E-7</v>
      </c>
      <c r="J3" s="7">
        <f>$B3 * IFERROR(VLOOKUP("LULUCF|PM25|Infant mortality", US_national_yearly!$D:$AM, 18, FALSE) / VLOOKUP("LULUCF|PM25|Infant mortality", US_national_yearly!$D:$AM, 10, FALSE), 1)</f>
        <v>4.9328179698000149E-7</v>
      </c>
      <c r="K3" s="7">
        <f>$B3 * IFERROR(VLOOKUP("LULUCF|PM25|Infant mortality", US_national_yearly!$D:$AM, 19, FALSE) / VLOOKUP("LULUCF|PM25|Infant mortality", US_national_yearly!$D:$AM, 10, FALSE), 1)</f>
        <v>4.9001467351051538E-7</v>
      </c>
      <c r="L3" s="7">
        <f>$B3 * IFERROR(VLOOKUP("LULUCF|PM25|Infant mortality", US_national_yearly!$D:$AM, 20, FALSE) / VLOOKUP("LULUCF|PM25|Infant mortality", US_national_yearly!$D:$AM, 10, FALSE), 1)</f>
        <v>4.8674755004102948E-7</v>
      </c>
      <c r="M3" s="7">
        <f>$B3 * IFERROR(VLOOKUP("LULUCF|PM25|Infant mortality", US_national_yearly!$D:$AM, 21, FALSE) / VLOOKUP("LULUCF|PM25|Infant mortality", US_national_yearly!$D:$AM, 10, FALSE), 1)</f>
        <v>4.8348042657154347E-7</v>
      </c>
      <c r="N3" s="7">
        <f>$B3 * IFERROR(VLOOKUP("LULUCF|PM25|Infant mortality", US_national_yearly!$D:$AM, 22, FALSE) / VLOOKUP("LULUCF|PM25|Infant mortality", US_national_yearly!$D:$AM, 10, FALSE), 1)</f>
        <v>4.8142831132681237E-7</v>
      </c>
      <c r="O3" s="7">
        <f>$B3 * IFERROR(VLOOKUP("LULUCF|PM25|Infant mortality", US_national_yearly!$D:$AM, 23, FALSE) / VLOOKUP("LULUCF|PM25|Infant mortality", US_national_yearly!$D:$AM, 10, FALSE), 1)</f>
        <v>4.7937619608208126E-7</v>
      </c>
      <c r="P3" s="7">
        <f>$B3 * IFERROR(VLOOKUP("LULUCF|PM25|Infant mortality", US_national_yearly!$D:$AM, 24, FALSE) / VLOOKUP("LULUCF|PM25|Infant mortality", US_national_yearly!$D:$AM, 10, FALSE), 1)</f>
        <v>4.7732408083735016E-7</v>
      </c>
      <c r="Q3" s="7">
        <f>$B3 * IFERROR(VLOOKUP("LULUCF|PM25|Infant mortality", US_national_yearly!$D:$AM, 25, FALSE) / VLOOKUP("LULUCF|PM25|Infant mortality", US_national_yearly!$D:$AM, 10, FALSE), 1)</f>
        <v>4.7527196559261906E-7</v>
      </c>
      <c r="R3" s="7">
        <f>$B3 * IFERROR(VLOOKUP("LULUCF|PM25|Infant mortality", US_national_yearly!$D:$AM, 26, FALSE) / VLOOKUP("LULUCF|PM25|Infant mortality", US_national_yearly!$D:$AM, 10, FALSE), 1)</f>
        <v>4.7321985034788796E-7</v>
      </c>
      <c r="S3" s="7">
        <f>$B3 * IFERROR(VLOOKUP("LULUCF|PM25|Infant mortality", US_national_yearly!$D:$AM, 27, FALSE) / VLOOKUP("LULUCF|PM25|Infant mortality", US_national_yearly!$D:$AM, 10, FALSE), 1)</f>
        <v>4.7066184673655389E-7</v>
      </c>
      <c r="T3" s="7">
        <f>$B3 * IFERROR(VLOOKUP("LULUCF|PM25|Infant mortality", US_national_yearly!$D:$AM, 28, FALSE) / VLOOKUP("LULUCF|PM25|Infant mortality", US_national_yearly!$D:$AM, 10, FALSE), 1)</f>
        <v>4.6810384312521972E-7</v>
      </c>
      <c r="U3" s="7">
        <f>$B3 * IFERROR(VLOOKUP("LULUCF|PM25|Infant mortality", US_national_yearly!$D:$AM, 29, FALSE) / VLOOKUP("LULUCF|PM25|Infant mortality", US_national_yearly!$D:$AM, 10, FALSE), 1)</f>
        <v>4.6554583951388565E-7</v>
      </c>
      <c r="V3" s="7">
        <f>$B3 * IFERROR(VLOOKUP("LULUCF|PM25|Infant mortality", US_national_yearly!$D:$AM, 30, FALSE) / VLOOKUP("LULUCF|PM25|Infant mortality", US_national_yearly!$D:$AM, 10, FALSE), 1)</f>
        <v>4.6298783590255159E-7</v>
      </c>
      <c r="W3" s="7">
        <f>$B3 * IFERROR(VLOOKUP("LULUCF|PM25|Infant mortality", US_national_yearly!$D:$AM, 31, FALSE) / VLOOKUP("LULUCF|PM25|Infant mortality", US_national_yearly!$D:$AM, 10, FALSE), 1)</f>
        <v>4.6042983229121747E-7</v>
      </c>
      <c r="X3" s="7">
        <f>$B3 * IFERROR(VLOOKUP("LULUCF|PM25|Infant mortality", US_national_yearly!$D:$AM, 32, FALSE) / VLOOKUP("LULUCF|PM25|Infant mortality", US_national_yearly!$D:$AM, 10, FALSE), 1)</f>
        <v>4.5767198289087536E-7</v>
      </c>
      <c r="Y3" s="7">
        <f>$B3 * IFERROR(VLOOKUP("LULUCF|PM25|Infant mortality", US_national_yearly!$D:$AM, 33, FALSE) / VLOOKUP("LULUCF|PM25|Infant mortality", US_national_yearly!$D:$AM, 10, FALSE), 1)</f>
        <v>4.5491413349053314E-7</v>
      </c>
      <c r="Z3" s="7">
        <f>$B3 * IFERROR(VLOOKUP("LULUCF|PM25|Infant mortality", US_national_yearly!$D:$AM, 34, FALSE) / VLOOKUP("LULUCF|PM25|Infant mortality", US_national_yearly!$D:$AM, 10, FALSE), 1)</f>
        <v>4.5215628409019102E-7</v>
      </c>
      <c r="AA3" s="7">
        <f>$B3 * IFERROR(VLOOKUP("LULUCF|PM25|Infant mortality", US_national_yearly!$D:$AM, 35, FALSE) / VLOOKUP("LULUCF|PM25|Infant mortality", US_national_yearly!$D:$AM, 10, FALSE), 1)</f>
        <v>4.4939843468984886E-7</v>
      </c>
      <c r="AB3" s="7">
        <f>$B3 * IFERROR(VLOOKUP("LULUCF|PM25|Infant mortality", US_national_yearly!$D:$AM, 36, FALSE) / VLOOKUP("LULUCF|PM25|Infant mortality", US_national_yearly!$D:$AM, 10, FALSE), 1)</f>
        <v>4.4664058528950679E-7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1.5301802820946826E-3</v>
      </c>
      <c r="C6" s="7">
        <f>$B6 * IFERROR(VLOOKUP("LULUCF|PM25|Asthma symptoms cough", US_national_yearly!$D:$AM, 11, FALSE) / VLOOKUP("LULUCF|PM25|Asthma symptoms cough", US_national_yearly!$D:$AM, 10, FALSE), 1)</f>
        <v>1.5301802820946826E-3</v>
      </c>
      <c r="D6" s="7">
        <f>$B6 * IFERROR(VLOOKUP("LULUCF|PM25|Asthma symptoms cough", US_national_yearly!$D:$AM, 12, FALSE) / VLOOKUP("LULUCF|PM25|Asthma symptoms cough", US_national_yearly!$D:$AM, 10, FALSE), 1)</f>
        <v>1.5301802820946826E-3</v>
      </c>
      <c r="E6" s="7">
        <f>$B6 * IFERROR(VLOOKUP("LULUCF|PM25|Asthma symptoms cough", US_national_yearly!$D:$AM, 13, FALSE) / VLOOKUP("LULUCF|PM25|Asthma symptoms cough", US_national_yearly!$D:$AM, 10, FALSE), 1)</f>
        <v>1.5301802820946826E-3</v>
      </c>
      <c r="F6" s="7">
        <f>$B6 * IFERROR(VLOOKUP("LULUCF|PM25|Asthma symptoms cough", US_national_yearly!$D:$AM, 14, FALSE) / VLOOKUP("LULUCF|PM25|Asthma symptoms cough", US_national_yearly!$D:$AM, 10, FALSE), 1)</f>
        <v>1.5301802820946826E-3</v>
      </c>
      <c r="G6" s="7">
        <f>$B6 * IFERROR(VLOOKUP("LULUCF|PM25|Asthma symptoms cough", US_national_yearly!$D:$AM, 15, FALSE) / VLOOKUP("LULUCF|PM25|Asthma symptoms cough", US_national_yearly!$D:$AM, 10, FALSE), 1)</f>
        <v>1.5301802820946826E-3</v>
      </c>
      <c r="H6" s="7">
        <f>$B6 * IFERROR(VLOOKUP("LULUCF|PM25|Asthma symptoms cough", US_national_yearly!$D:$AM, 16, FALSE) / VLOOKUP("LULUCF|PM25|Asthma symptoms cough", US_national_yearly!$D:$AM, 10, FALSE), 1)</f>
        <v>1.5301802820946826E-3</v>
      </c>
      <c r="I6" s="7">
        <f>$B6 * IFERROR(VLOOKUP("LULUCF|PM25|Asthma symptoms cough", US_national_yearly!$D:$AM, 17, FALSE) / VLOOKUP("LULUCF|PM25|Asthma symptoms cough", US_national_yearly!$D:$AM, 10, FALSE), 1)</f>
        <v>1.5301802820946826E-3</v>
      </c>
      <c r="J6" s="7">
        <f>$B6 * IFERROR(VLOOKUP("LULUCF|PM25|Asthma symptoms cough", US_national_yearly!$D:$AM, 18, FALSE) / VLOOKUP("LULUCF|PM25|Asthma symptoms cough", US_national_yearly!$D:$AM, 10, FALSE), 1)</f>
        <v>1.5301802820946826E-3</v>
      </c>
      <c r="K6" s="7">
        <f>$B6 * IFERROR(VLOOKUP("LULUCF|PM25|Asthma symptoms cough", US_national_yearly!$D:$AM, 19, FALSE) / VLOOKUP("LULUCF|PM25|Asthma symptoms cough", US_national_yearly!$D:$AM, 10, FALSE), 1)</f>
        <v>1.5301802820946826E-3</v>
      </c>
      <c r="L6" s="7">
        <f>$B6 * IFERROR(VLOOKUP("LULUCF|PM25|Asthma symptoms cough", US_national_yearly!$D:$AM, 20, FALSE) / VLOOKUP("LULUCF|PM25|Asthma symptoms cough", US_national_yearly!$D:$AM, 10, FALSE), 1)</f>
        <v>1.5301802820946826E-3</v>
      </c>
      <c r="M6" s="7">
        <f>$B6 * IFERROR(VLOOKUP("LULUCF|PM25|Asthma symptoms cough", US_national_yearly!$D:$AM, 21, FALSE) / VLOOKUP("LULUCF|PM25|Asthma symptoms cough", US_national_yearly!$D:$AM, 10, FALSE), 1)</f>
        <v>1.5301802820946826E-3</v>
      </c>
      <c r="N6" s="7">
        <f>$B6 * IFERROR(VLOOKUP("LULUCF|PM25|Asthma symptoms cough", US_national_yearly!$D:$AM, 22, FALSE) / VLOOKUP("LULUCF|PM25|Asthma symptoms cough", US_national_yearly!$D:$AM, 10, FALSE), 1)</f>
        <v>1.5301802820946826E-3</v>
      </c>
      <c r="O6" s="7">
        <f>$B6 * IFERROR(VLOOKUP("LULUCF|PM25|Asthma symptoms cough", US_national_yearly!$D:$AM, 23, FALSE) / VLOOKUP("LULUCF|PM25|Asthma symptoms cough", US_national_yearly!$D:$AM, 10, FALSE), 1)</f>
        <v>1.5301802820946826E-3</v>
      </c>
      <c r="P6" s="7">
        <f>$B6 * IFERROR(VLOOKUP("LULUCF|PM25|Asthma symptoms cough", US_national_yearly!$D:$AM, 24, FALSE) / VLOOKUP("LULUCF|PM25|Asthma symptoms cough", US_national_yearly!$D:$AM, 10, FALSE), 1)</f>
        <v>1.5301802820946826E-3</v>
      </c>
      <c r="Q6" s="7">
        <f>$B6 * IFERROR(VLOOKUP("LULUCF|PM25|Asthma symptoms cough", US_national_yearly!$D:$AM, 25, FALSE) / VLOOKUP("LULUCF|PM25|Asthma symptoms cough", US_national_yearly!$D:$AM, 10, FALSE), 1)</f>
        <v>1.5301802820946826E-3</v>
      </c>
      <c r="R6" s="7">
        <f>$B6 * IFERROR(VLOOKUP("LULUCF|PM25|Asthma symptoms cough", US_national_yearly!$D:$AM, 26, FALSE) / VLOOKUP("LULUCF|PM25|Asthma symptoms cough", US_national_yearly!$D:$AM, 10, FALSE), 1)</f>
        <v>1.5301802820946826E-3</v>
      </c>
      <c r="S6" s="7">
        <f>$B6 * IFERROR(VLOOKUP("LULUCF|PM25|Asthma symptoms cough", US_national_yearly!$D:$AM, 27, FALSE) / VLOOKUP("LULUCF|PM25|Asthma symptoms cough", US_national_yearly!$D:$AM, 10, FALSE), 1)</f>
        <v>1.5301802820946826E-3</v>
      </c>
      <c r="T6" s="7">
        <f>$B6 * IFERROR(VLOOKUP("LULUCF|PM25|Asthma symptoms cough", US_national_yearly!$D:$AM, 28, FALSE) / VLOOKUP("LULUCF|PM25|Asthma symptoms cough", US_national_yearly!$D:$AM, 10, FALSE), 1)</f>
        <v>1.5301802820946826E-3</v>
      </c>
      <c r="U6" s="7">
        <f>$B6 * IFERROR(VLOOKUP("LULUCF|PM25|Asthma symptoms cough", US_national_yearly!$D:$AM, 29, FALSE) / VLOOKUP("LULUCF|PM25|Asthma symptoms cough", US_national_yearly!$D:$AM, 10, FALSE), 1)</f>
        <v>1.5301802820946826E-3</v>
      </c>
      <c r="V6" s="7">
        <f>$B6 * IFERROR(VLOOKUP("LULUCF|PM25|Asthma symptoms cough", US_national_yearly!$D:$AM, 30, FALSE) / VLOOKUP("LULUCF|PM25|Asthma symptoms cough", US_national_yearly!$D:$AM, 10, FALSE), 1)</f>
        <v>1.5301802820946826E-3</v>
      </c>
      <c r="W6" s="7">
        <f>$B6 * IFERROR(VLOOKUP("LULUCF|PM25|Asthma symptoms cough", US_national_yearly!$D:$AM, 31, FALSE) / VLOOKUP("LULUCF|PM25|Asthma symptoms cough", US_national_yearly!$D:$AM, 10, FALSE), 1)</f>
        <v>1.5301802820946826E-3</v>
      </c>
      <c r="X6" s="7">
        <f>$B6 * IFERROR(VLOOKUP("LULUCF|PM25|Asthma symptoms cough", US_national_yearly!$D:$AM, 32, FALSE) / VLOOKUP("LULUCF|PM25|Asthma symptoms cough", US_national_yearly!$D:$AM, 10, FALSE), 1)</f>
        <v>1.5301802820946826E-3</v>
      </c>
      <c r="Y6" s="7">
        <f>$B6 * IFERROR(VLOOKUP("LULUCF|PM25|Asthma symptoms cough", US_national_yearly!$D:$AM, 33, FALSE) / VLOOKUP("LULUCF|PM25|Asthma symptoms cough", US_national_yearly!$D:$AM, 10, FALSE), 1)</f>
        <v>1.5301802820946826E-3</v>
      </c>
      <c r="Z6" s="7">
        <f>$B6 * IFERROR(VLOOKUP("LULUCF|PM25|Asthma symptoms cough", US_national_yearly!$D:$AM, 34, FALSE) / VLOOKUP("LULUCF|PM25|Asthma symptoms cough", US_national_yearly!$D:$AM, 10, FALSE), 1)</f>
        <v>1.5301802820946826E-3</v>
      </c>
      <c r="AA6" s="7">
        <f>$B6 * IFERROR(VLOOKUP("LULUCF|PM25|Asthma symptoms cough", US_national_yearly!$D:$AM, 35, FALSE) / VLOOKUP("LULUCF|PM25|Asthma symptoms cough", US_national_yearly!$D:$AM, 10, FALSE), 1)</f>
        <v>1.5301802820946826E-3</v>
      </c>
      <c r="AB6" s="7">
        <f>$B6 * IFERROR(VLOOKUP("LULUCF|PM25|Asthma symptoms cough", US_national_yearly!$D:$AM, 36, FALSE) / VLOOKUP("LULUCF|PM25|Asthma symptoms cough", US_national_yearly!$D:$AM, 10, FALSE), 1)</f>
        <v>1.5301802820946826E-3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2.0605603965219705E-3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2.0605603965219705E-3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2.0605603965219705E-3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2.0605603965219705E-3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2.0605603965219705E-3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2.0605603965219705E-3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2.0605603965219705E-3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2.0605603965219705E-3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2.0605603965219705E-3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2.0605603965219705E-3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2.0605603965219705E-3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2.0605603965219705E-3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2.0605603965219705E-3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2.0605603965219705E-3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2.0605603965219705E-3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2.0605603965219705E-3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2.0605603965219705E-3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2.0605603965219705E-3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2.0605603965219705E-3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2.0605603965219705E-3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2.0605603965219705E-3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2.0605603965219705E-3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2.0605603965219705E-3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2.0605603965219705E-3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2.0605603965219705E-3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2.0605603965219705E-3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2.0605603965219705E-3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3.1483631701161598E-3</v>
      </c>
      <c r="C8" s="7">
        <f>$B8 * IFERROR(VLOOKUP("LULUCF|PM25|Asthma symptoms wheeze", US_national_yearly!$D:$AM, 11, FALSE) / VLOOKUP("LULUCF|PM25|Asthma symptoms wheeze", US_national_yearly!$D:$AM, 10, FALSE), 1)</f>
        <v>3.1483631701161598E-3</v>
      </c>
      <c r="D8" s="7">
        <f>$B8 * IFERROR(VLOOKUP("LULUCF|PM25|Asthma symptoms wheeze", US_national_yearly!$D:$AM, 12, FALSE) / VLOOKUP("LULUCF|PM25|Asthma symptoms wheeze", US_national_yearly!$D:$AM, 10, FALSE), 1)</f>
        <v>3.1483631701161598E-3</v>
      </c>
      <c r="E8" s="7">
        <f>$B8 * IFERROR(VLOOKUP("LULUCF|PM25|Asthma symptoms wheeze", US_national_yearly!$D:$AM, 13, FALSE) / VLOOKUP("LULUCF|PM25|Asthma symptoms wheeze", US_national_yearly!$D:$AM, 10, FALSE), 1)</f>
        <v>3.1483631701161598E-3</v>
      </c>
      <c r="F8" s="7">
        <f>$B8 * IFERROR(VLOOKUP("LULUCF|PM25|Asthma symptoms wheeze", US_national_yearly!$D:$AM, 14, FALSE) / VLOOKUP("LULUCF|PM25|Asthma symptoms wheeze", US_national_yearly!$D:$AM, 10, FALSE), 1)</f>
        <v>3.1483631701161598E-3</v>
      </c>
      <c r="G8" s="7">
        <f>$B8 * IFERROR(VLOOKUP("LULUCF|PM25|Asthma symptoms wheeze", US_national_yearly!$D:$AM, 15, FALSE) / VLOOKUP("LULUCF|PM25|Asthma symptoms wheeze", US_national_yearly!$D:$AM, 10, FALSE), 1)</f>
        <v>3.1483631701161598E-3</v>
      </c>
      <c r="H8" s="7">
        <f>$B8 * IFERROR(VLOOKUP("LULUCF|PM25|Asthma symptoms wheeze", US_national_yearly!$D:$AM, 16, FALSE) / VLOOKUP("LULUCF|PM25|Asthma symptoms wheeze", US_national_yearly!$D:$AM, 10, FALSE), 1)</f>
        <v>3.1483631701161598E-3</v>
      </c>
      <c r="I8" s="7">
        <f>$B8 * IFERROR(VLOOKUP("LULUCF|PM25|Asthma symptoms wheeze", US_national_yearly!$D:$AM, 17, FALSE) / VLOOKUP("LULUCF|PM25|Asthma symptoms wheeze", US_national_yearly!$D:$AM, 10, FALSE), 1)</f>
        <v>3.1483631701161598E-3</v>
      </c>
      <c r="J8" s="7">
        <f>$B8 * IFERROR(VLOOKUP("LULUCF|PM25|Asthma symptoms wheeze", US_national_yearly!$D:$AM, 18, FALSE) / VLOOKUP("LULUCF|PM25|Asthma symptoms wheeze", US_national_yearly!$D:$AM, 10, FALSE), 1)</f>
        <v>3.1483631701161598E-3</v>
      </c>
      <c r="K8" s="7">
        <f>$B8 * IFERROR(VLOOKUP("LULUCF|PM25|Asthma symptoms wheeze", US_national_yearly!$D:$AM, 19, FALSE) / VLOOKUP("LULUCF|PM25|Asthma symptoms wheeze", US_national_yearly!$D:$AM, 10, FALSE), 1)</f>
        <v>3.1483631701161598E-3</v>
      </c>
      <c r="L8" s="7">
        <f>$B8 * IFERROR(VLOOKUP("LULUCF|PM25|Asthma symptoms wheeze", US_national_yearly!$D:$AM, 20, FALSE) / VLOOKUP("LULUCF|PM25|Asthma symptoms wheeze", US_national_yearly!$D:$AM, 10, FALSE), 1)</f>
        <v>3.1483631701161598E-3</v>
      </c>
      <c r="M8" s="7">
        <f>$B8 * IFERROR(VLOOKUP("LULUCF|PM25|Asthma symptoms wheeze", US_national_yearly!$D:$AM, 21, FALSE) / VLOOKUP("LULUCF|PM25|Asthma symptoms wheeze", US_national_yearly!$D:$AM, 10, FALSE), 1)</f>
        <v>3.1483631701161598E-3</v>
      </c>
      <c r="N8" s="7">
        <f>$B8 * IFERROR(VLOOKUP("LULUCF|PM25|Asthma symptoms wheeze", US_national_yearly!$D:$AM, 22, FALSE) / VLOOKUP("LULUCF|PM25|Asthma symptoms wheeze", US_national_yearly!$D:$AM, 10, FALSE), 1)</f>
        <v>3.1483631701161598E-3</v>
      </c>
      <c r="O8" s="7">
        <f>$B8 * IFERROR(VLOOKUP("LULUCF|PM25|Asthma symptoms wheeze", US_national_yearly!$D:$AM, 23, FALSE) / VLOOKUP("LULUCF|PM25|Asthma symptoms wheeze", US_national_yearly!$D:$AM, 10, FALSE), 1)</f>
        <v>3.1483631701161598E-3</v>
      </c>
      <c r="P8" s="7">
        <f>$B8 * IFERROR(VLOOKUP("LULUCF|PM25|Asthma symptoms wheeze", US_national_yearly!$D:$AM, 24, FALSE) / VLOOKUP("LULUCF|PM25|Asthma symptoms wheeze", US_national_yearly!$D:$AM, 10, FALSE), 1)</f>
        <v>3.1483631701161598E-3</v>
      </c>
      <c r="Q8" s="7">
        <f>$B8 * IFERROR(VLOOKUP("LULUCF|PM25|Asthma symptoms wheeze", US_national_yearly!$D:$AM, 25, FALSE) / VLOOKUP("LULUCF|PM25|Asthma symptoms wheeze", US_national_yearly!$D:$AM, 10, FALSE), 1)</f>
        <v>3.1483631701161598E-3</v>
      </c>
      <c r="R8" s="7">
        <f>$B8 * IFERROR(VLOOKUP("LULUCF|PM25|Asthma symptoms wheeze", US_national_yearly!$D:$AM, 26, FALSE) / VLOOKUP("LULUCF|PM25|Asthma symptoms wheeze", US_national_yearly!$D:$AM, 10, FALSE), 1)</f>
        <v>3.1483631701161598E-3</v>
      </c>
      <c r="S8" s="7">
        <f>$B8 * IFERROR(VLOOKUP("LULUCF|PM25|Asthma symptoms wheeze", US_national_yearly!$D:$AM, 27, FALSE) / VLOOKUP("LULUCF|PM25|Asthma symptoms wheeze", US_national_yearly!$D:$AM, 10, FALSE), 1)</f>
        <v>3.1483631701161598E-3</v>
      </c>
      <c r="T8" s="7">
        <f>$B8 * IFERROR(VLOOKUP("LULUCF|PM25|Asthma symptoms wheeze", US_national_yearly!$D:$AM, 28, FALSE) / VLOOKUP("LULUCF|PM25|Asthma symptoms wheeze", US_national_yearly!$D:$AM, 10, FALSE), 1)</f>
        <v>3.1483631701161598E-3</v>
      </c>
      <c r="U8" s="7">
        <f>$B8 * IFERROR(VLOOKUP("LULUCF|PM25|Asthma symptoms wheeze", US_national_yearly!$D:$AM, 29, FALSE) / VLOOKUP("LULUCF|PM25|Asthma symptoms wheeze", US_national_yearly!$D:$AM, 10, FALSE), 1)</f>
        <v>3.1483631701161598E-3</v>
      </c>
      <c r="V8" s="7">
        <f>$B8 * IFERROR(VLOOKUP("LULUCF|PM25|Asthma symptoms wheeze", US_national_yearly!$D:$AM, 30, FALSE) / VLOOKUP("LULUCF|PM25|Asthma symptoms wheeze", US_national_yearly!$D:$AM, 10, FALSE), 1)</f>
        <v>3.1483631701161598E-3</v>
      </c>
      <c r="W8" s="7">
        <f>$B8 * IFERROR(VLOOKUP("LULUCF|PM25|Asthma symptoms wheeze", US_national_yearly!$D:$AM, 31, FALSE) / VLOOKUP("LULUCF|PM25|Asthma symptoms wheeze", US_national_yearly!$D:$AM, 10, FALSE), 1)</f>
        <v>3.1483631701161598E-3</v>
      </c>
      <c r="X8" s="7">
        <f>$B8 * IFERROR(VLOOKUP("LULUCF|PM25|Asthma symptoms wheeze", US_national_yearly!$D:$AM, 32, FALSE) / VLOOKUP("LULUCF|PM25|Asthma symptoms wheeze", US_national_yearly!$D:$AM, 10, FALSE), 1)</f>
        <v>3.1483631701161598E-3</v>
      </c>
      <c r="Y8" s="7">
        <f>$B8 * IFERROR(VLOOKUP("LULUCF|PM25|Asthma symptoms wheeze", US_national_yearly!$D:$AM, 33, FALSE) / VLOOKUP("LULUCF|PM25|Asthma symptoms wheeze", US_national_yearly!$D:$AM, 10, FALSE), 1)</f>
        <v>3.1483631701161598E-3</v>
      </c>
      <c r="Z8" s="7">
        <f>$B8 * IFERROR(VLOOKUP("LULUCF|PM25|Asthma symptoms wheeze", US_national_yearly!$D:$AM, 34, FALSE) / VLOOKUP("LULUCF|PM25|Asthma symptoms wheeze", US_national_yearly!$D:$AM, 10, FALSE), 1)</f>
        <v>3.1483631701161598E-3</v>
      </c>
      <c r="AA8" s="7">
        <f>$B8 * IFERROR(VLOOKUP("LULUCF|PM25|Asthma symptoms wheeze", US_national_yearly!$D:$AM, 35, FALSE) / VLOOKUP("LULUCF|PM25|Asthma symptoms wheeze", US_national_yearly!$D:$AM, 10, FALSE), 1)</f>
        <v>3.1483631701161598E-3</v>
      </c>
      <c r="AB8" s="7">
        <f>$B8 * IFERROR(VLOOKUP("LULUCF|PM25|Asthma symptoms wheeze", US_national_yearly!$D:$AM, 36, FALSE) / VLOOKUP("LULUCF|PM25|Asthma symptoms wheeze", US_national_yearly!$D:$AM, 10, FALSE), 1)</f>
        <v>3.1483631701161598E-3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3.0352559938572495E-5</v>
      </c>
      <c r="C12" s="7">
        <f>$B12 * IFERROR(VLOOKUP("LULUCF|PM25|Respiratory hospital admissions", US_national_yearly!$D:$AM, 11, FALSE) / VLOOKUP("LULUCF|PM25|Respiratory hospital admissions", US_national_yearly!$D:$AM, 10, FALSE), 1)</f>
        <v>3.0526528578330084E-5</v>
      </c>
      <c r="D12" s="7">
        <f>$B12 * IFERROR(VLOOKUP("LULUCF|PM25|Respiratory hospital admissions", US_national_yearly!$D:$AM, 12, FALSE) / VLOOKUP("LULUCF|PM25|Respiratory hospital admissions", US_national_yearly!$D:$AM, 10, FALSE), 1)</f>
        <v>3.0700497218087667E-5</v>
      </c>
      <c r="E12" s="7">
        <f>$B12 * IFERROR(VLOOKUP("LULUCF|PM25|Respiratory hospital admissions", US_national_yearly!$D:$AM, 13, FALSE) / VLOOKUP("LULUCF|PM25|Respiratory hospital admissions", US_national_yearly!$D:$AM, 10, FALSE), 1)</f>
        <v>3.0874465857845263E-5</v>
      </c>
      <c r="F12" s="7">
        <f>$B12 * IFERROR(VLOOKUP("LULUCF|PM25|Respiratory hospital admissions", US_national_yearly!$D:$AM, 14, FALSE) / VLOOKUP("LULUCF|PM25|Respiratory hospital admissions", US_national_yearly!$D:$AM, 10, FALSE), 1)</f>
        <v>3.1048434497602846E-5</v>
      </c>
      <c r="G12" s="7">
        <f>$B12 * IFERROR(VLOOKUP("LULUCF|PM25|Respiratory hospital admissions", US_national_yearly!$D:$AM, 15, FALSE) / VLOOKUP("LULUCF|PM25|Respiratory hospital admissions", US_national_yearly!$D:$AM, 10, FALSE), 1)</f>
        <v>3.123632804922133E-5</v>
      </c>
      <c r="H12" s="7">
        <f>$B12 * IFERROR(VLOOKUP("LULUCF|PM25|Respiratory hospital admissions", US_national_yearly!$D:$AM, 16, FALSE) / VLOOKUP("LULUCF|PM25|Respiratory hospital admissions", US_national_yearly!$D:$AM, 10, FALSE), 1)</f>
        <v>3.1424221600839813E-5</v>
      </c>
      <c r="I12" s="7">
        <f>$B12 * IFERROR(VLOOKUP("LULUCF|PM25|Respiratory hospital admissions", US_national_yearly!$D:$AM, 17, FALSE) / VLOOKUP("LULUCF|PM25|Respiratory hospital admissions", US_national_yearly!$D:$AM, 10, FALSE), 1)</f>
        <v>3.160374675067537E-5</v>
      </c>
      <c r="J12" s="7">
        <f>$B12 * IFERROR(VLOOKUP("LULUCF|PM25|Respiratory hospital admissions", US_national_yearly!$D:$AM, 18, FALSE) / VLOOKUP("LULUCF|PM25|Respiratory hospital admissions", US_national_yearly!$D:$AM, 10, FALSE), 1)</f>
        <v>3.1783271900510933E-5</v>
      </c>
      <c r="K12" s="7">
        <f>$B12 * IFERROR(VLOOKUP("LULUCF|PM25|Respiratory hospital admissions", US_national_yearly!$D:$AM, 19, FALSE) / VLOOKUP("LULUCF|PM25|Respiratory hospital admissions", US_national_yearly!$D:$AM, 10, FALSE), 1)</f>
        <v>3.1962797050346497E-5</v>
      </c>
      <c r="L12" s="7">
        <f>$B12 * IFERROR(VLOOKUP("LULUCF|PM25|Respiratory hospital admissions", US_national_yearly!$D:$AM, 20, FALSE) / VLOOKUP("LULUCF|PM25|Respiratory hospital admissions", US_national_yearly!$D:$AM, 10, FALSE), 1)</f>
        <v>3.2142322200182067E-5</v>
      </c>
      <c r="M12" s="7">
        <f>$B12 * IFERROR(VLOOKUP("LULUCF|PM25|Respiratory hospital admissions", US_national_yearly!$D:$AM, 21, FALSE) / VLOOKUP("LULUCF|PM25|Respiratory hospital admissions", US_national_yearly!$D:$AM, 10, FALSE), 1)</f>
        <v>3.2321847350017624E-5</v>
      </c>
      <c r="N12" s="7">
        <f>$B12 * IFERROR(VLOOKUP("LULUCF|PM25|Respiratory hospital admissions", US_national_yearly!$D:$AM, 22, FALSE) / VLOOKUP("LULUCF|PM25|Respiratory hospital admissions", US_national_yearly!$D:$AM, 10, FALSE), 1)</f>
        <v>3.2450697788926835E-5</v>
      </c>
      <c r="O12" s="7">
        <f>$B12 * IFERROR(VLOOKUP("LULUCF|PM25|Respiratory hospital admissions", US_national_yearly!$D:$AM, 23, FALSE) / VLOOKUP("LULUCF|PM25|Respiratory hospital admissions", US_national_yearly!$D:$AM, 10, FALSE), 1)</f>
        <v>3.257954822783604E-5</v>
      </c>
      <c r="P12" s="7">
        <f>$B12 * IFERROR(VLOOKUP("LULUCF|PM25|Respiratory hospital admissions", US_national_yearly!$D:$AM, 24, FALSE) / VLOOKUP("LULUCF|PM25|Respiratory hospital admissions", US_national_yearly!$D:$AM, 10, FALSE), 1)</f>
        <v>3.2708398666745238E-5</v>
      </c>
      <c r="Q12" s="7">
        <f>$B12 * IFERROR(VLOOKUP("LULUCF|PM25|Respiratory hospital admissions", US_national_yearly!$D:$AM, 25, FALSE) / VLOOKUP("LULUCF|PM25|Respiratory hospital admissions", US_national_yearly!$D:$AM, 10, FALSE), 1)</f>
        <v>3.2837249105654443E-5</v>
      </c>
      <c r="R12" s="7">
        <f>$B12 * IFERROR(VLOOKUP("LULUCF|PM25|Respiratory hospital admissions", US_national_yearly!$D:$AM, 26, FALSE) / VLOOKUP("LULUCF|PM25|Respiratory hospital admissions", US_national_yearly!$D:$AM, 10, FALSE), 1)</f>
        <v>3.2966099544563655E-5</v>
      </c>
      <c r="S12" s="7">
        <f>$B12 * IFERROR(VLOOKUP("LULUCF|PM25|Respiratory hospital admissions", US_national_yearly!$D:$AM, 27, FALSE) / VLOOKUP("LULUCF|PM25|Respiratory hospital admissions", US_national_yearly!$D:$AM, 10, FALSE), 1)</f>
        <v>3.3088782140753116E-5</v>
      </c>
      <c r="T12" s="7">
        <f>$B12 * IFERROR(VLOOKUP("LULUCF|PM25|Respiratory hospital admissions", US_national_yearly!$D:$AM, 28, FALSE) / VLOOKUP("LULUCF|PM25|Respiratory hospital admissions", US_national_yearly!$D:$AM, 10, FALSE), 1)</f>
        <v>3.3211464736942585E-5</v>
      </c>
      <c r="U12" s="7">
        <f>$B12 * IFERROR(VLOOKUP("LULUCF|PM25|Respiratory hospital admissions", US_national_yearly!$D:$AM, 29, FALSE) / VLOOKUP("LULUCF|PM25|Respiratory hospital admissions", US_national_yearly!$D:$AM, 10, FALSE), 1)</f>
        <v>3.3334147333132039E-5</v>
      </c>
      <c r="V12" s="7">
        <f>$B12 * IFERROR(VLOOKUP("LULUCF|PM25|Respiratory hospital admissions", US_national_yearly!$D:$AM, 30, FALSE) / VLOOKUP("LULUCF|PM25|Respiratory hospital admissions", US_national_yearly!$D:$AM, 10, FALSE), 1)</f>
        <v>3.3456829929321501E-5</v>
      </c>
      <c r="W12" s="7">
        <f>$B12 * IFERROR(VLOOKUP("LULUCF|PM25|Respiratory hospital admissions", US_national_yearly!$D:$AM, 31, FALSE) / VLOOKUP("LULUCF|PM25|Respiratory hospital admissions", US_national_yearly!$D:$AM, 10, FALSE), 1)</f>
        <v>3.3579512525510962E-5</v>
      </c>
      <c r="X12" s="7">
        <f>$B12 * IFERROR(VLOOKUP("LULUCF|PM25|Respiratory hospital admissions", US_national_yearly!$D:$AM, 32, FALSE) / VLOOKUP("LULUCF|PM25|Respiratory hospital admissions", US_national_yearly!$D:$AM, 10, FALSE), 1)</f>
        <v>3.3697534748005302E-5</v>
      </c>
      <c r="Y12" s="7">
        <f>$B12 * IFERROR(VLOOKUP("LULUCF|PM25|Respiratory hospital admissions", US_national_yearly!$D:$AM, 33, FALSE) / VLOOKUP("LULUCF|PM25|Respiratory hospital admissions", US_national_yearly!$D:$AM, 10, FALSE), 1)</f>
        <v>3.3815556970499622E-5</v>
      </c>
      <c r="Z12" s="7">
        <f>$B12 * IFERROR(VLOOKUP("LULUCF|PM25|Respiratory hospital admissions", US_national_yearly!$D:$AM, 34, FALSE) / VLOOKUP("LULUCF|PM25|Respiratory hospital admissions", US_national_yearly!$D:$AM, 10, FALSE), 1)</f>
        <v>3.3933579192993956E-5</v>
      </c>
      <c r="AA12" s="7">
        <f>$B12 * IFERROR(VLOOKUP("LULUCF|PM25|Respiratory hospital admissions", US_national_yearly!$D:$AM, 35, FALSE) / VLOOKUP("LULUCF|PM25|Respiratory hospital admissions", US_national_yearly!$D:$AM, 10, FALSE), 1)</f>
        <v>3.4051601415488282E-5</v>
      </c>
      <c r="AB12" s="7">
        <f>$B12 * IFERROR(VLOOKUP("LULUCF|PM25|Respiratory hospital admissions", US_national_yearly!$D:$AM, 36, FALSE) / VLOOKUP("LULUCF|PM25|Respiratory hospital admissions", US_national_yearly!$D:$AM, 10, FALSE), 1)</f>
        <v>3.4169623637982609E-5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1.8725859585112315E-4</v>
      </c>
      <c r="C13" s="7">
        <f>$B13 * IFERROR(VLOOKUP("LULUCF|PM25|Non-fatal heart attacks", US_national_yearly!$D:$AM, 11, FALSE) / VLOOKUP("LULUCF|PM25|Non-fatal heart attacks", US_national_yearly!$D:$AM, 10, FALSE), 1)</f>
        <v>1.9270270015995538E-4</v>
      </c>
      <c r="D13" s="7">
        <f>$B13 * IFERROR(VLOOKUP("LULUCF|PM25|Non-fatal heart attacks", US_national_yearly!$D:$AM, 12, FALSE) / VLOOKUP("LULUCF|PM25|Non-fatal heart attacks", US_national_yearly!$D:$AM, 10, FALSE), 1)</f>
        <v>1.981468044687876E-4</v>
      </c>
      <c r="E13" s="7">
        <f>$B13 * IFERROR(VLOOKUP("LULUCF|PM25|Non-fatal heart attacks", US_national_yearly!$D:$AM, 13, FALSE) / VLOOKUP("LULUCF|PM25|Non-fatal heart attacks", US_national_yearly!$D:$AM, 10, FALSE), 1)</f>
        <v>2.035909087776198E-4</v>
      </c>
      <c r="F13" s="7">
        <f>$B13 * IFERROR(VLOOKUP("LULUCF|PM25|Non-fatal heart attacks", US_national_yearly!$D:$AM, 14, FALSE) / VLOOKUP("LULUCF|PM25|Non-fatal heart attacks", US_national_yearly!$D:$AM, 10, FALSE), 1)</f>
        <v>2.0903501308645205E-4</v>
      </c>
      <c r="G13" s="7">
        <f>$B13 * IFERROR(VLOOKUP("LULUCF|PM25|Non-fatal heart attacks", US_national_yearly!$D:$AM, 15, FALSE) / VLOOKUP("LULUCF|PM25|Non-fatal heart attacks", US_national_yearly!$D:$AM, 10, FALSE), 1)</f>
        <v>2.1416914761928279E-4</v>
      </c>
      <c r="H13" s="7">
        <f>$B13 * IFERROR(VLOOKUP("LULUCF|PM25|Non-fatal heart attacks", US_national_yearly!$D:$AM, 16, FALSE) / VLOOKUP("LULUCF|PM25|Non-fatal heart attacks", US_national_yearly!$D:$AM, 10, FALSE), 1)</f>
        <v>2.1930328215211348E-4</v>
      </c>
      <c r="I13" s="7">
        <f>$B13 * IFERROR(VLOOKUP("LULUCF|PM25|Non-fatal heart attacks", US_national_yearly!$D:$AM, 17, FALSE) / VLOOKUP("LULUCF|PM25|Non-fatal heart attacks", US_national_yearly!$D:$AM, 10, FALSE), 1)</f>
        <v>2.2342941790754419E-4</v>
      </c>
      <c r="J13" s="7">
        <f>$B13 * IFERROR(VLOOKUP("LULUCF|PM25|Non-fatal heart attacks", US_national_yearly!$D:$AM, 18, FALSE) / VLOOKUP("LULUCF|PM25|Non-fatal heart attacks", US_national_yearly!$D:$AM, 10, FALSE), 1)</f>
        <v>2.2755555366297492E-4</v>
      </c>
      <c r="K13" s="7">
        <f>$B13 * IFERROR(VLOOKUP("LULUCF|PM25|Non-fatal heart attacks", US_national_yearly!$D:$AM, 19, FALSE) / VLOOKUP("LULUCF|PM25|Non-fatal heart attacks", US_national_yearly!$D:$AM, 10, FALSE), 1)</f>
        <v>2.3168168941840566E-4</v>
      </c>
      <c r="L13" s="7">
        <f>$B13 * IFERROR(VLOOKUP("LULUCF|PM25|Non-fatal heart attacks", US_national_yearly!$D:$AM, 20, FALSE) / VLOOKUP("LULUCF|PM25|Non-fatal heart attacks", US_national_yearly!$D:$AM, 10, FALSE), 1)</f>
        <v>2.3580782517383639E-4</v>
      </c>
      <c r="M13" s="7">
        <f>$B13 * IFERROR(VLOOKUP("LULUCF|PM25|Non-fatal heart attacks", US_national_yearly!$D:$AM, 21, FALSE) / VLOOKUP("LULUCF|PM25|Non-fatal heart attacks", US_national_yearly!$D:$AM, 10, FALSE), 1)</f>
        <v>2.3993396092926713E-4</v>
      </c>
      <c r="N13" s="7">
        <f>$B13 * IFERROR(VLOOKUP("LULUCF|PM25|Non-fatal heart attacks", US_national_yearly!$D:$AM, 22, FALSE) / VLOOKUP("LULUCF|PM25|Non-fatal heart attacks", US_national_yearly!$D:$AM, 10, FALSE), 1)</f>
        <v>2.4259491105426556E-4</v>
      </c>
      <c r="O13" s="7">
        <f>$B13 * IFERROR(VLOOKUP("LULUCF|PM25|Non-fatal heart attacks", US_national_yearly!$D:$AM, 23, FALSE) / VLOOKUP("LULUCF|PM25|Non-fatal heart attacks", US_national_yearly!$D:$AM, 10, FALSE), 1)</f>
        <v>2.4525586117926402E-4</v>
      </c>
      <c r="P13" s="7">
        <f>$B13 * IFERROR(VLOOKUP("LULUCF|PM25|Non-fatal heart attacks", US_national_yearly!$D:$AM, 24, FALSE) / VLOOKUP("LULUCF|PM25|Non-fatal heart attacks", US_national_yearly!$D:$AM, 10, FALSE), 1)</f>
        <v>2.4791681130426253E-4</v>
      </c>
      <c r="Q13" s="7">
        <f>$B13 * IFERROR(VLOOKUP("LULUCF|PM25|Non-fatal heart attacks", US_national_yearly!$D:$AM, 25, FALSE) / VLOOKUP("LULUCF|PM25|Non-fatal heart attacks", US_national_yearly!$D:$AM, 10, FALSE), 1)</f>
        <v>2.5057776142926093E-4</v>
      </c>
      <c r="R13" s="7">
        <f>$B13 * IFERROR(VLOOKUP("LULUCF|PM25|Non-fatal heart attacks", US_national_yearly!$D:$AM, 26, FALSE) / VLOOKUP("LULUCF|PM25|Non-fatal heart attacks", US_national_yearly!$D:$AM, 10, FALSE), 1)</f>
        <v>2.5323871155425945E-4</v>
      </c>
      <c r="S13" s="7">
        <f>$B13 * IFERROR(VLOOKUP("LULUCF|PM25|Non-fatal heart attacks", US_national_yearly!$D:$AM, 27, FALSE) / VLOOKUP("LULUCF|PM25|Non-fatal heart attacks", US_national_yearly!$D:$AM, 10, FALSE), 1)</f>
        <v>2.546400439128485E-4</v>
      </c>
      <c r="T13" s="7">
        <f>$B13 * IFERROR(VLOOKUP("LULUCF|PM25|Non-fatal heart attacks", US_national_yearly!$D:$AM, 28, FALSE) / VLOOKUP("LULUCF|PM25|Non-fatal heart attacks", US_national_yearly!$D:$AM, 10, FALSE), 1)</f>
        <v>2.5604137627143766E-4</v>
      </c>
      <c r="U13" s="7">
        <f>$B13 * IFERROR(VLOOKUP("LULUCF|PM25|Non-fatal heart attacks", US_national_yearly!$D:$AM, 29, FALSE) / VLOOKUP("LULUCF|PM25|Non-fatal heart attacks", US_national_yearly!$D:$AM, 10, FALSE), 1)</f>
        <v>2.5744270863002676E-4</v>
      </c>
      <c r="V13" s="7">
        <f>$B13 * IFERROR(VLOOKUP("LULUCF|PM25|Non-fatal heart attacks", US_national_yearly!$D:$AM, 30, FALSE) / VLOOKUP("LULUCF|PM25|Non-fatal heart attacks", US_national_yearly!$D:$AM, 10, FALSE), 1)</f>
        <v>2.5884404098861587E-4</v>
      </c>
      <c r="W13" s="7">
        <f>$B13 * IFERROR(VLOOKUP("LULUCF|PM25|Non-fatal heart attacks", US_national_yearly!$D:$AM, 31, FALSE) / VLOOKUP("LULUCF|PM25|Non-fatal heart attacks", US_national_yearly!$D:$AM, 10, FALSE), 1)</f>
        <v>2.6024537334720497E-4</v>
      </c>
      <c r="X13" s="7">
        <f>$B13 * IFERROR(VLOOKUP("LULUCF|PM25|Non-fatal heart attacks", US_national_yearly!$D:$AM, 32, FALSE) / VLOOKUP("LULUCF|PM25|Non-fatal heart attacks", US_national_yearly!$D:$AM, 10, FALSE), 1)</f>
        <v>2.6130918723586872E-4</v>
      </c>
      <c r="Y13" s="7">
        <f>$B13 * IFERROR(VLOOKUP("LULUCF|PM25|Non-fatal heart attacks", US_national_yearly!$D:$AM, 33, FALSE) / VLOOKUP("LULUCF|PM25|Non-fatal heart attacks", US_national_yearly!$D:$AM, 10, FALSE), 1)</f>
        <v>2.6237300112453253E-4</v>
      </c>
      <c r="Z13" s="7">
        <f>$B13 * IFERROR(VLOOKUP("LULUCF|PM25|Non-fatal heart attacks", US_national_yearly!$D:$AM, 34, FALSE) / VLOOKUP("LULUCF|PM25|Non-fatal heart attacks", US_national_yearly!$D:$AM, 10, FALSE), 1)</f>
        <v>2.6343681501319628E-4</v>
      </c>
      <c r="AA13" s="7">
        <f>$B13 * IFERROR(VLOOKUP("LULUCF|PM25|Non-fatal heart attacks", US_national_yearly!$D:$AM, 35, FALSE) / VLOOKUP("LULUCF|PM25|Non-fatal heart attacks", US_national_yearly!$D:$AM, 10, FALSE), 1)</f>
        <v>2.6450062890186009E-4</v>
      </c>
      <c r="AB13" s="7">
        <f>$B13 * IFERROR(VLOOKUP("LULUCF|PM25|Non-fatal heart attacks", US_national_yearly!$D:$AM, 36, FALSE) / VLOOKUP("LULUCF|PM25|Non-fatal heart attacks", US_national_yearly!$D:$AM, 10, FALSE), 1)</f>
        <v>2.6556444279052385E-4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0.17313891920284302</v>
      </c>
      <c r="C14" s="7">
        <f>$B14 * IFERROR(VLOOKUP("LULUCF|PM25|Minor restricted activity days", US_national_yearly!$D:$AM, 11, FALSE) / VLOOKUP("LULUCF|PM25|Minor restricted activity days", US_national_yearly!$D:$AM, 10, FALSE), 1)</f>
        <v>0.17356174497623381</v>
      </c>
      <c r="D14" s="7">
        <f>$B14 * IFERROR(VLOOKUP("LULUCF|PM25|Minor restricted activity days", US_national_yearly!$D:$AM, 12, FALSE) / VLOOKUP("LULUCF|PM25|Minor restricted activity days", US_national_yearly!$D:$AM, 10, FALSE), 1)</f>
        <v>0.17398457074962462</v>
      </c>
      <c r="E14" s="7">
        <f>$B14 * IFERROR(VLOOKUP("LULUCF|PM25|Minor restricted activity days", US_national_yearly!$D:$AM, 13, FALSE) / VLOOKUP("LULUCF|PM25|Minor restricted activity days", US_national_yearly!$D:$AM, 10, FALSE), 1)</f>
        <v>0.17440739652301546</v>
      </c>
      <c r="F14" s="7">
        <f>$B14 * IFERROR(VLOOKUP("LULUCF|PM25|Minor restricted activity days", US_national_yearly!$D:$AM, 14, FALSE) / VLOOKUP("LULUCF|PM25|Minor restricted activity days", US_national_yearly!$D:$AM, 10, FALSE), 1)</f>
        <v>0.17483022229640621</v>
      </c>
      <c r="G14" s="7">
        <f>$B14 * IFERROR(VLOOKUP("LULUCF|PM25|Minor restricted activity days", US_national_yearly!$D:$AM, 15, FALSE) / VLOOKUP("LULUCF|PM25|Minor restricted activity days", US_national_yearly!$D:$AM, 10, FALSE), 1)</f>
        <v>0.17545408907096552</v>
      </c>
      <c r="H14" s="7">
        <f>$B14 * IFERROR(VLOOKUP("LULUCF|PM25|Minor restricted activity days", US_national_yearly!$D:$AM, 16, FALSE) / VLOOKUP("LULUCF|PM25|Minor restricted activity days", US_national_yearly!$D:$AM, 10, FALSE), 1)</f>
        <v>0.17607795584552483</v>
      </c>
      <c r="I14" s="7">
        <f>$B14 * IFERROR(VLOOKUP("LULUCF|PM25|Minor restricted activity days", US_national_yearly!$D:$AM, 17, FALSE) / VLOOKUP("LULUCF|PM25|Minor restricted activity days", US_national_yearly!$D:$AM, 10, FALSE), 1)</f>
        <v>0.17714448234322744</v>
      </c>
      <c r="J14" s="7">
        <f>$B14 * IFERROR(VLOOKUP("LULUCF|PM25|Minor restricted activity days", US_national_yearly!$D:$AM, 18, FALSE) / VLOOKUP("LULUCF|PM25|Minor restricted activity days", US_national_yearly!$D:$AM, 10, FALSE), 1)</f>
        <v>0.17821100884092997</v>
      </c>
      <c r="K14" s="7">
        <f>$B14 * IFERROR(VLOOKUP("LULUCF|PM25|Minor restricted activity days", US_national_yearly!$D:$AM, 19, FALSE) / VLOOKUP("LULUCF|PM25|Minor restricted activity days", US_national_yearly!$D:$AM, 10, FALSE), 1)</f>
        <v>0.17927753533863258</v>
      </c>
      <c r="L14" s="7">
        <f>$B14 * IFERROR(VLOOKUP("LULUCF|PM25|Minor restricted activity days", US_national_yearly!$D:$AM, 20, FALSE) / VLOOKUP("LULUCF|PM25|Minor restricted activity days", US_national_yearly!$D:$AM, 10, FALSE), 1)</f>
        <v>0.18034406183633514</v>
      </c>
      <c r="M14" s="7">
        <f>$B14 * IFERROR(VLOOKUP("LULUCF|PM25|Minor restricted activity days", US_national_yearly!$D:$AM, 21, FALSE) / VLOOKUP("LULUCF|PM25|Minor restricted activity days", US_national_yearly!$D:$AM, 10, FALSE), 1)</f>
        <v>0.18141058833403773</v>
      </c>
      <c r="N14" s="7">
        <f>$B14 * IFERROR(VLOOKUP("LULUCF|PM25|Minor restricted activity days", US_national_yearly!$D:$AM, 22, FALSE) / VLOOKUP("LULUCF|PM25|Minor restricted activity days", US_national_yearly!$D:$AM, 10, FALSE), 1)</f>
        <v>0.18286340976895668</v>
      </c>
      <c r="O14" s="7">
        <f>$B14 * IFERROR(VLOOKUP("LULUCF|PM25|Minor restricted activity days", US_national_yearly!$D:$AM, 23, FALSE) / VLOOKUP("LULUCF|PM25|Minor restricted activity days", US_national_yearly!$D:$AM, 10, FALSE), 1)</f>
        <v>0.18431623120387564</v>
      </c>
      <c r="P14" s="7">
        <f>$B14 * IFERROR(VLOOKUP("LULUCF|PM25|Minor restricted activity days", US_national_yearly!$D:$AM, 24, FALSE) / VLOOKUP("LULUCF|PM25|Minor restricted activity days", US_national_yearly!$D:$AM, 10, FALSE), 1)</f>
        <v>0.18576905263879459</v>
      </c>
      <c r="Q14" s="7">
        <f>$B14 * IFERROR(VLOOKUP("LULUCF|PM25|Minor restricted activity days", US_national_yearly!$D:$AM, 25, FALSE) / VLOOKUP("LULUCF|PM25|Minor restricted activity days", US_national_yearly!$D:$AM, 10, FALSE), 1)</f>
        <v>0.18722187407371355</v>
      </c>
      <c r="R14" s="7">
        <f>$B14 * IFERROR(VLOOKUP("LULUCF|PM25|Minor restricted activity days", US_national_yearly!$D:$AM, 26, FALSE) / VLOOKUP("LULUCF|PM25|Minor restricted activity days", US_national_yearly!$D:$AM, 10, FALSE), 1)</f>
        <v>0.18867469550863247</v>
      </c>
      <c r="S14" s="7">
        <f>$B14 * IFERROR(VLOOKUP("LULUCF|PM25|Minor restricted activity days", US_national_yearly!$D:$AM, 27, FALSE) / VLOOKUP("LULUCF|PM25|Minor restricted activity days", US_national_yearly!$D:$AM, 10, FALSE), 1)</f>
        <v>0.19013752204871406</v>
      </c>
      <c r="T14" s="7">
        <f>$B14 * IFERROR(VLOOKUP("LULUCF|PM25|Minor restricted activity days", US_national_yearly!$D:$AM, 28, FALSE) / VLOOKUP("LULUCF|PM25|Minor restricted activity days", US_national_yearly!$D:$AM, 10, FALSE), 1)</f>
        <v>0.19160034858879565</v>
      </c>
      <c r="U14" s="7">
        <f>$B14 * IFERROR(VLOOKUP("LULUCF|PM25|Minor restricted activity days", US_national_yearly!$D:$AM, 29, FALSE) / VLOOKUP("LULUCF|PM25|Minor restricted activity days", US_national_yearly!$D:$AM, 10, FALSE), 1)</f>
        <v>0.19306317512887725</v>
      </c>
      <c r="V14" s="7">
        <f>$B14 * IFERROR(VLOOKUP("LULUCF|PM25|Minor restricted activity days", US_national_yearly!$D:$AM, 30, FALSE) / VLOOKUP("LULUCF|PM25|Minor restricted activity days", US_national_yearly!$D:$AM, 10, FALSE), 1)</f>
        <v>0.19452600166895884</v>
      </c>
      <c r="W14" s="7">
        <f>$B14 * IFERROR(VLOOKUP("LULUCF|PM25|Minor restricted activity days", US_national_yearly!$D:$AM, 31, FALSE) / VLOOKUP("LULUCF|PM25|Minor restricted activity days", US_national_yearly!$D:$AM, 10, FALSE), 1)</f>
        <v>0.19598882820904043</v>
      </c>
      <c r="X14" s="7">
        <f>$B14 * IFERROR(VLOOKUP("LULUCF|PM25|Minor restricted activity days", US_national_yearly!$D:$AM, 32, FALSE) / VLOOKUP("LULUCF|PM25|Minor restricted activity days", US_national_yearly!$D:$AM, 10, FALSE), 1)</f>
        <v>0.19725870880898111</v>
      </c>
      <c r="Y14" s="7">
        <f>$B14 * IFERROR(VLOOKUP("LULUCF|PM25|Minor restricted activity days", US_national_yearly!$D:$AM, 33, FALSE) / VLOOKUP("LULUCF|PM25|Minor restricted activity days", US_national_yearly!$D:$AM, 10, FALSE), 1)</f>
        <v>0.19852858940892182</v>
      </c>
      <c r="Z14" s="7">
        <f>$B14 * IFERROR(VLOOKUP("LULUCF|PM25|Minor restricted activity days", US_national_yearly!$D:$AM, 34, FALSE) / VLOOKUP("LULUCF|PM25|Minor restricted activity days", US_national_yearly!$D:$AM, 10, FALSE), 1)</f>
        <v>0.19979847000886253</v>
      </c>
      <c r="AA14" s="7">
        <f>$B14 * IFERROR(VLOOKUP("LULUCF|PM25|Minor restricted activity days", US_national_yearly!$D:$AM, 35, FALSE) / VLOOKUP("LULUCF|PM25|Minor restricted activity days", US_national_yearly!$D:$AM, 10, FALSE), 1)</f>
        <v>0.20106835060880318</v>
      </c>
      <c r="AB14" s="7">
        <f>$B14 * IFERROR(VLOOKUP("LULUCF|PM25|Minor restricted activity days", US_national_yearly!$D:$AM, 36, FALSE) / VLOOKUP("LULUCF|PM25|Minor restricted activity days", US_national_yearly!$D:$AM, 10, FALSE), 1)</f>
        <v>0.20233823120874389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2.9534350764098844E-2</v>
      </c>
      <c r="C15" s="7">
        <f>$B15 * IFERROR(VLOOKUP("LULUCF|PM25|Work loss days", US_national_yearly!$D:$AM, 11, FALSE) / VLOOKUP("LULUCF|PM25|Work loss days", US_national_yearly!$D:$AM, 10, FALSE), 1)</f>
        <v>2.9625896614056946E-2</v>
      </c>
      <c r="D15" s="7">
        <f>$B15 * IFERROR(VLOOKUP("LULUCF|PM25|Work loss days", US_national_yearly!$D:$AM, 12, FALSE) / VLOOKUP("LULUCF|PM25|Work loss days", US_national_yearly!$D:$AM, 10, FALSE), 1)</f>
        <v>2.9717442464015056E-2</v>
      </c>
      <c r="E15" s="7">
        <f>$B15 * IFERROR(VLOOKUP("LULUCF|PM25|Work loss days", US_national_yearly!$D:$AM, 13, FALSE) / VLOOKUP("LULUCF|PM25|Work loss days", US_national_yearly!$D:$AM, 10, FALSE), 1)</f>
        <v>2.9808988313973158E-2</v>
      </c>
      <c r="F15" s="7">
        <f>$B15 * IFERROR(VLOOKUP("LULUCF|PM25|Work loss days", US_national_yearly!$D:$AM, 14, FALSE) / VLOOKUP("LULUCF|PM25|Work loss days", US_national_yearly!$D:$AM, 10, FALSE), 1)</f>
        <v>2.990053416393126E-2</v>
      </c>
      <c r="G15" s="7">
        <f>$B15 * IFERROR(VLOOKUP("LULUCF|PM25|Work loss days", US_national_yearly!$D:$AM, 15, FALSE) / VLOOKUP("LULUCF|PM25|Work loss days", US_national_yearly!$D:$AM, 10, FALSE), 1)</f>
        <v>3.0020556614854824E-2</v>
      </c>
      <c r="H15" s="7">
        <f>$B15 * IFERROR(VLOOKUP("LULUCF|PM25|Work loss days", US_national_yearly!$D:$AM, 16, FALSE) / VLOOKUP("LULUCF|PM25|Work loss days", US_national_yearly!$D:$AM, 10, FALSE), 1)</f>
        <v>3.014057906577839E-2</v>
      </c>
      <c r="I15" s="7">
        <f>$B15 * IFERROR(VLOOKUP("LULUCF|PM25|Work loss days", US_national_yearly!$D:$AM, 17, FALSE) / VLOOKUP("LULUCF|PM25|Work loss days", US_national_yearly!$D:$AM, 10, FALSE), 1)</f>
        <v>3.0317325325421546E-2</v>
      </c>
      <c r="J15" s="7">
        <f>$B15 * IFERROR(VLOOKUP("LULUCF|PM25|Work loss days", US_national_yearly!$D:$AM, 18, FALSE) / VLOOKUP("LULUCF|PM25|Work loss days", US_national_yearly!$D:$AM, 10, FALSE), 1)</f>
        <v>3.0494071585064699E-2</v>
      </c>
      <c r="K15" s="7">
        <f>$B15 * IFERROR(VLOOKUP("LULUCF|PM25|Work loss days", US_national_yearly!$D:$AM, 19, FALSE) / VLOOKUP("LULUCF|PM25|Work loss days", US_national_yearly!$D:$AM, 10, FALSE), 1)</f>
        <v>3.0670817844707855E-2</v>
      </c>
      <c r="L15" s="7">
        <f>$B15 * IFERROR(VLOOKUP("LULUCF|PM25|Work loss days", US_national_yearly!$D:$AM, 20, FALSE) / VLOOKUP("LULUCF|PM25|Work loss days", US_national_yearly!$D:$AM, 10, FALSE), 1)</f>
        <v>3.0847564104351008E-2</v>
      </c>
      <c r="M15" s="7">
        <f>$B15 * IFERROR(VLOOKUP("LULUCF|PM25|Work loss days", US_national_yearly!$D:$AM, 21, FALSE) / VLOOKUP("LULUCF|PM25|Work loss days", US_national_yearly!$D:$AM, 10, FALSE), 1)</f>
        <v>3.1024310363994164E-2</v>
      </c>
      <c r="N15" s="7">
        <f>$B15 * IFERROR(VLOOKUP("LULUCF|PM25|Work loss days", US_national_yearly!$D:$AM, 22, FALSE) / VLOOKUP("LULUCF|PM25|Work loss days", US_national_yearly!$D:$AM, 10, FALSE), 1)</f>
        <v>3.1246758909467563E-2</v>
      </c>
      <c r="O15" s="7">
        <f>$B15 * IFERROR(VLOOKUP("LULUCF|PM25|Work loss days", US_national_yearly!$D:$AM, 23, FALSE) / VLOOKUP("LULUCF|PM25|Work loss days", US_national_yearly!$D:$AM, 10, FALSE), 1)</f>
        <v>3.1469207454940952E-2</v>
      </c>
      <c r="P15" s="7">
        <f>$B15 * IFERROR(VLOOKUP("LULUCF|PM25|Work loss days", US_national_yearly!$D:$AM, 24, FALSE) / VLOOKUP("LULUCF|PM25|Work loss days", US_national_yearly!$D:$AM, 10, FALSE), 1)</f>
        <v>3.1691656000414355E-2</v>
      </c>
      <c r="Q15" s="7">
        <f>$B15 * IFERROR(VLOOKUP("LULUCF|PM25|Work loss days", US_national_yearly!$D:$AM, 25, FALSE) / VLOOKUP("LULUCF|PM25|Work loss days", US_national_yearly!$D:$AM, 10, FALSE), 1)</f>
        <v>3.1914104545887743E-2</v>
      </c>
      <c r="R15" s="7">
        <f>$B15 * IFERROR(VLOOKUP("LULUCF|PM25|Work loss days", US_national_yearly!$D:$AM, 26, FALSE) / VLOOKUP("LULUCF|PM25|Work loss days", US_national_yearly!$D:$AM, 10, FALSE), 1)</f>
        <v>3.2136553091361146E-2</v>
      </c>
      <c r="S15" s="7">
        <f>$B15 * IFERROR(VLOOKUP("LULUCF|PM25|Work loss days", US_national_yearly!$D:$AM, 27, FALSE) / VLOOKUP("LULUCF|PM25|Work loss days", US_national_yearly!$D:$AM, 10, FALSE), 1)</f>
        <v>3.2382590679751258E-2</v>
      </c>
      <c r="T15" s="7">
        <f>$B15 * IFERROR(VLOOKUP("LULUCF|PM25|Work loss days", US_national_yearly!$D:$AM, 28, FALSE) / VLOOKUP("LULUCF|PM25|Work loss days", US_national_yearly!$D:$AM, 10, FALSE), 1)</f>
        <v>3.2628628268141384E-2</v>
      </c>
      <c r="U15" s="7">
        <f>$B15 * IFERROR(VLOOKUP("LULUCF|PM25|Work loss days", US_national_yearly!$D:$AM, 29, FALSE) / VLOOKUP("LULUCF|PM25|Work loss days", US_national_yearly!$D:$AM, 10, FALSE), 1)</f>
        <v>3.2874665856531496E-2</v>
      </c>
      <c r="V15" s="7">
        <f>$B15 * IFERROR(VLOOKUP("LULUCF|PM25|Work loss days", US_national_yearly!$D:$AM, 30, FALSE) / VLOOKUP("LULUCF|PM25|Work loss days", US_national_yearly!$D:$AM, 10, FALSE), 1)</f>
        <v>3.3120703444921622E-2</v>
      </c>
      <c r="W15" s="7">
        <f>$B15 * IFERROR(VLOOKUP("LULUCF|PM25|Work loss days", US_national_yearly!$D:$AM, 31, FALSE) / VLOOKUP("LULUCF|PM25|Work loss days", US_national_yearly!$D:$AM, 10, FALSE), 1)</f>
        <v>3.3366741033311734E-2</v>
      </c>
      <c r="X15" s="7">
        <f>$B15 * IFERROR(VLOOKUP("LULUCF|PM25|Work loss days", US_national_yearly!$D:$AM, 32, FALSE) / VLOOKUP("LULUCF|PM25|Work loss days", US_national_yearly!$D:$AM, 10, FALSE), 1)</f>
        <v>3.3585042731442603E-2</v>
      </c>
      <c r="Y15" s="7">
        <f>$B15 * IFERROR(VLOOKUP("LULUCF|PM25|Work loss days", US_national_yearly!$D:$AM, 33, FALSE) / VLOOKUP("LULUCF|PM25|Work loss days", US_national_yearly!$D:$AM, 10, FALSE), 1)</f>
        <v>3.3803344429573473E-2</v>
      </c>
      <c r="Z15" s="7">
        <f>$B15 * IFERROR(VLOOKUP("LULUCF|PM25|Work loss days", US_national_yearly!$D:$AM, 34, FALSE) / VLOOKUP("LULUCF|PM25|Work loss days", US_national_yearly!$D:$AM, 10, FALSE), 1)</f>
        <v>3.4021646127704343E-2</v>
      </c>
      <c r="AA15" s="7">
        <f>$B15 * IFERROR(VLOOKUP("LULUCF|PM25|Work loss days", US_national_yearly!$D:$AM, 35, FALSE) / VLOOKUP("LULUCF|PM25|Work loss days", US_national_yearly!$D:$AM, 10, FALSE), 1)</f>
        <v>3.4239947825835219E-2</v>
      </c>
      <c r="AB15" s="7">
        <f>$B15 * IFERROR(VLOOKUP("LULUCF|PM25|Work loss days", US_national_yearly!$D:$AM, 36, FALSE) / VLOOKUP("LULUCF|PM25|Work loss days", US_national_yearly!$D:$AM, 10, FALSE), 1)</f>
        <v>3.4458249523966082E-2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4.6169327565694626E-5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4.7548899268007932E-5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4.8928470970321244E-5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5.0308042672634557E-5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5.1687614374947877E-5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5.3008997637353741E-5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5.4330380899759626E-5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5.5460500412618421E-5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5.6590619925477202E-5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5.772073943833599E-5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5.8850858951194792E-5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5.998097846405358E-5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6.0734454945411603E-5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6.1487931426769645E-5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6.2241407908127675E-5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6.2994884389485704E-5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6.3748360870843733E-5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6.4147020274851711E-5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6.4545679678859675E-5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6.4944339082867626E-5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6.5342998486875591E-5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6.5741657890883555E-5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6.6010040645615603E-5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6.6278423400347665E-5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6.6546806155079713E-5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6.6815188909811761E-5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6.7083571664543808E-5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4.1516043125801858E-4</v>
      </c>
      <c r="C2" s="7">
        <f>$B2 * IFERROR(VLOOKUP("LULUCF|NOx|Premature mortality", US_national_yearly!$D:$AM, 11, FALSE) / VLOOKUP("LULUCF|NOx|Premature mortality", US_national_yearly!$D:$AM, 10, FALSE), 1)</f>
        <v>4.2125843626692123E-4</v>
      </c>
      <c r="D2" s="7">
        <f>$B2 * IFERROR(VLOOKUP("LULUCF|NOx|Premature mortality", US_national_yearly!$D:$AM, 12, FALSE) / VLOOKUP("LULUCF|NOx|Premature mortality", US_national_yearly!$D:$AM, 10, FALSE), 1)</f>
        <v>4.2735644127582371E-4</v>
      </c>
      <c r="E2" s="7">
        <f>$B2 * IFERROR(VLOOKUP("LULUCF|NOx|Premature mortality", US_national_yearly!$D:$AM, 13, FALSE) / VLOOKUP("LULUCF|NOx|Premature mortality", US_national_yearly!$D:$AM, 10, FALSE), 1)</f>
        <v>4.3345444628472635E-4</v>
      </c>
      <c r="F2" s="7">
        <f>$B2 * IFERROR(VLOOKUP("LULUCF|NOx|Premature mortality", US_national_yearly!$D:$AM, 14, FALSE) / VLOOKUP("LULUCF|NOx|Premature mortality", US_national_yearly!$D:$AM, 10, FALSE), 1)</f>
        <v>4.3955245129362894E-4</v>
      </c>
      <c r="G2" s="7">
        <f>$B2 * IFERROR(VLOOKUP("LULUCF|NOx|Premature mortality", US_national_yearly!$D:$AM, 15, FALSE) / VLOOKUP("LULUCF|NOx|Premature mortality", US_national_yearly!$D:$AM, 10, FALSE), 1)</f>
        <v>4.505059100056002E-4</v>
      </c>
      <c r="H2" s="7">
        <f>$B2 * IFERROR(VLOOKUP("LULUCF|NOx|Premature mortality", US_national_yearly!$D:$AM, 16, FALSE) / VLOOKUP("LULUCF|NOx|Premature mortality", US_national_yearly!$D:$AM, 10, FALSE), 1)</f>
        <v>4.6145936871757167E-4</v>
      </c>
      <c r="I2" s="7">
        <f>$B2 * IFERROR(VLOOKUP("LULUCF|NOx|Premature mortality", US_national_yearly!$D:$AM, 17, FALSE) / VLOOKUP("LULUCF|NOx|Premature mortality", US_national_yearly!$D:$AM, 10, FALSE), 1)</f>
        <v>4.6853003408830937E-4</v>
      </c>
      <c r="J2" s="7">
        <f>$B2 * IFERROR(VLOOKUP("LULUCF|NOx|Premature mortality", US_national_yearly!$D:$AM, 18, FALSE) / VLOOKUP("LULUCF|NOx|Premature mortality", US_national_yearly!$D:$AM, 10, FALSE), 1)</f>
        <v>4.7560069945904717E-4</v>
      </c>
      <c r="K2" s="7">
        <f>$B2 * IFERROR(VLOOKUP("LULUCF|NOx|Premature mortality", US_national_yearly!$D:$AM, 19, FALSE) / VLOOKUP("LULUCF|NOx|Premature mortality", US_national_yearly!$D:$AM, 10, FALSE), 1)</f>
        <v>4.8267136482978487E-4</v>
      </c>
      <c r="L2" s="7">
        <f>$B2 * IFERROR(VLOOKUP("LULUCF|NOx|Premature mortality", US_national_yearly!$D:$AM, 20, FALSE) / VLOOKUP("LULUCF|NOx|Premature mortality", US_national_yearly!$D:$AM, 10, FALSE), 1)</f>
        <v>4.8974203020052257E-4</v>
      </c>
      <c r="M2" s="7">
        <f>$B2 * IFERROR(VLOOKUP("LULUCF|NOx|Premature mortality", US_national_yearly!$D:$AM, 21, FALSE) / VLOOKUP("LULUCF|NOx|Premature mortality", US_national_yearly!$D:$AM, 10, FALSE), 1)</f>
        <v>4.9681269557126032E-4</v>
      </c>
      <c r="N2" s="7">
        <f>$B2 * IFERROR(VLOOKUP("LULUCF|NOx|Premature mortality", US_national_yearly!$D:$AM, 22, FALSE) / VLOOKUP("LULUCF|NOx|Premature mortality", US_national_yearly!$D:$AM, 10, FALSE), 1)</f>
        <v>5.0205061699038227E-4</v>
      </c>
      <c r="O2" s="7">
        <f>$B2 * IFERROR(VLOOKUP("LULUCF|NOx|Premature mortality", US_national_yearly!$D:$AM, 23, FALSE) / VLOOKUP("LULUCF|NOx|Premature mortality", US_national_yearly!$D:$AM, 10, FALSE), 1)</f>
        <v>5.0728853840950421E-4</v>
      </c>
      <c r="P2" s="7">
        <f>$B2 * IFERROR(VLOOKUP("LULUCF|NOx|Premature mortality", US_national_yearly!$D:$AM, 24, FALSE) / VLOOKUP("LULUCF|NOx|Premature mortality", US_national_yearly!$D:$AM, 10, FALSE), 1)</f>
        <v>5.1252645982862604E-4</v>
      </c>
      <c r="Q2" s="7">
        <f>$B2 * IFERROR(VLOOKUP("LULUCF|NOx|Premature mortality", US_national_yearly!$D:$AM, 25, FALSE) / VLOOKUP("LULUCF|NOx|Premature mortality", US_national_yearly!$D:$AM, 10, FALSE), 1)</f>
        <v>5.1776438124774809E-4</v>
      </c>
      <c r="R2" s="7">
        <f>$B2 * IFERROR(VLOOKUP("LULUCF|NOx|Premature mortality", US_national_yearly!$D:$AM, 26, FALSE) / VLOOKUP("LULUCF|NOx|Premature mortality", US_national_yearly!$D:$AM, 10, FALSE), 1)</f>
        <v>5.2300230266686992E-4</v>
      </c>
      <c r="S2" s="7">
        <f>$B2 * IFERROR(VLOOKUP("LULUCF|NOx|Premature mortality", US_national_yearly!$D:$AM, 27, FALSE) / VLOOKUP("LULUCF|NOx|Premature mortality", US_national_yearly!$D:$AM, 10, FALSE), 1)</f>
        <v>5.2538299069702866E-4</v>
      </c>
      <c r="T2" s="7">
        <f>$B2 * IFERROR(VLOOKUP("LULUCF|NOx|Premature mortality", US_national_yearly!$D:$AM, 28, FALSE) / VLOOKUP("LULUCF|NOx|Premature mortality", US_national_yearly!$D:$AM, 10, FALSE), 1)</f>
        <v>5.277636787271874E-4</v>
      </c>
      <c r="U2" s="7">
        <f>$B2 * IFERROR(VLOOKUP("LULUCF|NOx|Premature mortality", US_national_yearly!$D:$AM, 29, FALSE) / VLOOKUP("LULUCF|NOx|Premature mortality", US_national_yearly!$D:$AM, 10, FALSE), 1)</f>
        <v>5.3014436675734604E-4</v>
      </c>
      <c r="V2" s="7">
        <f>$B2 * IFERROR(VLOOKUP("LULUCF|NOx|Premature mortality", US_national_yearly!$D:$AM, 30, FALSE) / VLOOKUP("LULUCF|NOx|Premature mortality", US_national_yearly!$D:$AM, 10, FALSE), 1)</f>
        <v>5.3252505478750467E-4</v>
      </c>
      <c r="W2" s="7">
        <f>$B2 * IFERROR(VLOOKUP("LULUCF|NOx|Premature mortality", US_national_yearly!$D:$AM, 31, FALSE) / VLOOKUP("LULUCF|NOx|Premature mortality", US_national_yearly!$D:$AM, 10, FALSE), 1)</f>
        <v>5.3490574281766341E-4</v>
      </c>
      <c r="X2" s="7">
        <f>$B2 * IFERROR(VLOOKUP("LULUCF|NOx|Premature mortality", US_national_yearly!$D:$AM, 32, FALSE) / VLOOKUP("LULUCF|NOx|Premature mortality", US_national_yearly!$D:$AM, 10, FALSE), 1)</f>
        <v>5.3498820848450225E-4</v>
      </c>
      <c r="Y2" s="7">
        <f>$B2 * IFERROR(VLOOKUP("LULUCF|NOx|Premature mortality", US_national_yearly!$D:$AM, 33, FALSE) / VLOOKUP("LULUCF|NOx|Premature mortality", US_national_yearly!$D:$AM, 10, FALSE), 1)</f>
        <v>5.350706741513411E-4</v>
      </c>
      <c r="Z2" s="7">
        <f>$B2 * IFERROR(VLOOKUP("LULUCF|NOx|Premature mortality", US_national_yearly!$D:$AM, 34, FALSE) / VLOOKUP("LULUCF|NOx|Premature mortality", US_national_yearly!$D:$AM, 10, FALSE), 1)</f>
        <v>5.3515313981817984E-4</v>
      </c>
      <c r="AA2" s="7">
        <f>$B2 * IFERROR(VLOOKUP("LULUCF|NOx|Premature mortality", US_national_yearly!$D:$AM, 35, FALSE) / VLOOKUP("LULUCF|NOx|Premature mortality", US_national_yearly!$D:$AM, 10, FALSE), 1)</f>
        <v>5.3523560548501879E-4</v>
      </c>
      <c r="AB2" s="7">
        <f>$B2 * IFERROR(VLOOKUP("LULUCF|NOx|Premature mortality", US_national_yearly!$D:$AM, 36, FALSE) / VLOOKUP("LULUCF|NOx|Premature mortality", US_national_yearly!$D:$AM, 10, FALSE), 1)</f>
        <v>5.3531807115185764E-4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1.5688178501891235E-6</v>
      </c>
      <c r="C3" s="7">
        <f>$B3 * IFERROR(VLOOKUP("LULUCF|NOx|Infant mortality", US_national_yearly!$D:$AM, 11, FALSE) / VLOOKUP("LULUCF|NOx|Infant mortality", US_national_yearly!$D:$AM, 10, FALSE), 1)</f>
        <v>1.5538708625632522E-6</v>
      </c>
      <c r="D3" s="7">
        <f>$B3 * IFERROR(VLOOKUP("LULUCF|NOx|Infant mortality", US_national_yearly!$D:$AM, 12, FALSE) / VLOOKUP("LULUCF|NOx|Infant mortality", US_national_yearly!$D:$AM, 10, FALSE), 1)</f>
        <v>1.5389238749373806E-6</v>
      </c>
      <c r="E3" s="7">
        <f>$B3 * IFERROR(VLOOKUP("LULUCF|NOx|Infant mortality", US_national_yearly!$D:$AM, 13, FALSE) / VLOOKUP("LULUCF|NOx|Infant mortality", US_national_yearly!$D:$AM, 10, FALSE), 1)</f>
        <v>1.5239768873115093E-6</v>
      </c>
      <c r="F3" s="7">
        <f>$B3 * IFERROR(VLOOKUP("LULUCF|NOx|Infant mortality", US_national_yearly!$D:$AM, 14, FALSE) / VLOOKUP("LULUCF|NOx|Infant mortality", US_national_yearly!$D:$AM, 10, FALSE), 1)</f>
        <v>1.509029899685638E-6</v>
      </c>
      <c r="G3" s="7">
        <f>$B3 * IFERROR(VLOOKUP("LULUCF|NOx|Infant mortality", US_national_yearly!$D:$AM, 15, FALSE) / VLOOKUP("LULUCF|NOx|Infant mortality", US_national_yearly!$D:$AM, 10, FALSE), 1)</f>
        <v>1.0017685647906123E-6</v>
      </c>
      <c r="H3" s="7">
        <f>$B3 * IFERROR(VLOOKUP("LULUCF|NOx|Infant mortality", US_national_yearly!$D:$AM, 16, FALSE) / VLOOKUP("LULUCF|NOx|Infant mortality", US_national_yearly!$D:$AM, 10, FALSE), 1)</f>
        <v>4.9450722989558652E-7</v>
      </c>
      <c r="I3" s="7">
        <f>$B3 * IFERROR(VLOOKUP("LULUCF|NOx|Infant mortality", US_national_yearly!$D:$AM, 17, FALSE) / VLOOKUP("LULUCF|NOx|Infant mortality", US_national_yearly!$D:$AM, 10, FALSE), 1)</f>
        <v>4.9101059162279762E-7</v>
      </c>
      <c r="J3" s="7">
        <f>$B3 * IFERROR(VLOOKUP("LULUCF|NOx|Infant mortality", US_national_yearly!$D:$AM, 18, FALSE) / VLOOKUP("LULUCF|NOx|Infant mortality", US_national_yearly!$D:$AM, 10, FALSE), 1)</f>
        <v>4.8751395335000862E-7</v>
      </c>
      <c r="K3" s="7">
        <f>$B3 * IFERROR(VLOOKUP("LULUCF|NOx|Infant mortality", US_national_yearly!$D:$AM, 19, FALSE) / VLOOKUP("LULUCF|NOx|Infant mortality", US_national_yearly!$D:$AM, 10, FALSE), 1)</f>
        <v>4.8401731507721972E-7</v>
      </c>
      <c r="L3" s="7">
        <f>$B3 * IFERROR(VLOOKUP("LULUCF|NOx|Infant mortality", US_national_yearly!$D:$AM, 20, FALSE) / VLOOKUP("LULUCF|NOx|Infant mortality", US_national_yearly!$D:$AM, 10, FALSE), 1)</f>
        <v>4.8052067680443072E-7</v>
      </c>
      <c r="M3" s="7">
        <f>$B3 * IFERROR(VLOOKUP("LULUCF|NOx|Infant mortality", US_national_yearly!$D:$AM, 21, FALSE) / VLOOKUP("LULUCF|NOx|Infant mortality", US_national_yearly!$D:$AM, 10, FALSE), 1)</f>
        <v>4.7702403853164171E-7</v>
      </c>
      <c r="N3" s="7">
        <f>$B3 * IFERROR(VLOOKUP("LULUCF|NOx|Infant mortality", US_national_yearly!$D:$AM, 22, FALSE) / VLOOKUP("LULUCF|NOx|Infant mortality", US_national_yearly!$D:$AM, 10, FALSE), 1)</f>
        <v>4.7470311624929848E-7</v>
      </c>
      <c r="O3" s="7">
        <f>$B3 * IFERROR(VLOOKUP("LULUCF|NOx|Infant mortality", US_national_yearly!$D:$AM, 23, FALSE) / VLOOKUP("LULUCF|NOx|Infant mortality", US_national_yearly!$D:$AM, 10, FALSE), 1)</f>
        <v>4.723821939669552E-7</v>
      </c>
      <c r="P3" s="7">
        <f>$B3 * IFERROR(VLOOKUP("LULUCF|NOx|Infant mortality", US_national_yearly!$D:$AM, 24, FALSE) / VLOOKUP("LULUCF|NOx|Infant mortality", US_national_yearly!$D:$AM, 10, FALSE), 1)</f>
        <v>4.7006127168461191E-7</v>
      </c>
      <c r="Q3" s="7">
        <f>$B3 * IFERROR(VLOOKUP("LULUCF|NOx|Infant mortality", US_national_yearly!$D:$AM, 25, FALSE) / VLOOKUP("LULUCF|NOx|Infant mortality", US_national_yearly!$D:$AM, 10, FALSE), 1)</f>
        <v>4.6774034940226863E-7</v>
      </c>
      <c r="R3" s="7">
        <f>$B3 * IFERROR(VLOOKUP("LULUCF|NOx|Infant mortality", US_national_yearly!$D:$AM, 26, FALSE) / VLOOKUP("LULUCF|NOx|Infant mortality", US_national_yearly!$D:$AM, 10, FALSE), 1)</f>
        <v>4.6541942711992534E-7</v>
      </c>
      <c r="S3" s="7">
        <f>$B3 * IFERROR(VLOOKUP("LULUCF|NOx|Infant mortality", US_national_yearly!$D:$AM, 27, FALSE) / VLOOKUP("LULUCF|NOx|Infant mortality", US_national_yearly!$D:$AM, 10, FALSE), 1)</f>
        <v>4.6262930945460813E-7</v>
      </c>
      <c r="T3" s="7">
        <f>$B3 * IFERROR(VLOOKUP("LULUCF|NOx|Infant mortality", US_national_yearly!$D:$AM, 28, FALSE) / VLOOKUP("LULUCF|NOx|Infant mortality", US_national_yearly!$D:$AM, 10, FALSE), 1)</f>
        <v>4.5983919178929092E-7</v>
      </c>
      <c r="U3" s="7">
        <f>$B3 * IFERROR(VLOOKUP("LULUCF|NOx|Infant mortality", US_national_yearly!$D:$AM, 29, FALSE) / VLOOKUP("LULUCF|NOx|Infant mortality", US_national_yearly!$D:$AM, 10, FALSE), 1)</f>
        <v>4.5704907412397366E-7</v>
      </c>
      <c r="V3" s="7">
        <f>$B3 * IFERROR(VLOOKUP("LULUCF|NOx|Infant mortality", US_national_yearly!$D:$AM, 30, FALSE) / VLOOKUP("LULUCF|NOx|Infant mortality", US_national_yearly!$D:$AM, 10, FALSE), 1)</f>
        <v>4.5425895645865645E-7</v>
      </c>
      <c r="W3" s="7">
        <f>$B3 * IFERROR(VLOOKUP("LULUCF|NOx|Infant mortality", US_national_yearly!$D:$AM, 31, FALSE) / VLOOKUP("LULUCF|NOx|Infant mortality", US_national_yearly!$D:$AM, 10, FALSE), 1)</f>
        <v>4.5146883879333924E-7</v>
      </c>
      <c r="X3" s="7">
        <f>$B3 * IFERROR(VLOOKUP("LULUCF|NOx|Infant mortality", US_national_yearly!$D:$AM, 32, FALSE) / VLOOKUP("LULUCF|NOx|Infant mortality", US_national_yearly!$D:$AM, 10, FALSE), 1)</f>
        <v>4.4851396926118487E-7</v>
      </c>
      <c r="Y3" s="7">
        <f>$B3 * IFERROR(VLOOKUP("LULUCF|NOx|Infant mortality", US_national_yearly!$D:$AM, 33, FALSE) / VLOOKUP("LULUCF|NOx|Infant mortality", US_national_yearly!$D:$AM, 10, FALSE), 1)</f>
        <v>4.455590997290305E-7</v>
      </c>
      <c r="Z3" s="7">
        <f>$B3 * IFERROR(VLOOKUP("LULUCF|NOx|Infant mortality", US_national_yearly!$D:$AM, 34, FALSE) / VLOOKUP("LULUCF|NOx|Infant mortality", US_national_yearly!$D:$AM, 10, FALSE), 1)</f>
        <v>4.4260423019687608E-7</v>
      </c>
      <c r="AA3" s="7">
        <f>$B3 * IFERROR(VLOOKUP("LULUCF|NOx|Infant mortality", US_national_yearly!$D:$AM, 35, FALSE) / VLOOKUP("LULUCF|NOx|Infant mortality", US_national_yearly!$D:$AM, 10, FALSE), 1)</f>
        <v>4.3964936066472166E-7</v>
      </c>
      <c r="AB3" s="7">
        <f>$B3 * IFERROR(VLOOKUP("LULUCF|NOx|Infant mortality", US_national_yearly!$D:$AM, 36, FALSE) / VLOOKUP("LULUCF|NOx|Infant mortality", US_national_yearly!$D:$AM, 10, FALSE), 1)</f>
        <v>4.3669449113256723E-7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1.5301802820946826E-3</v>
      </c>
      <c r="C6" s="7">
        <f>$B6 * IFERROR(VLOOKUP("LULUCF|NOx|Asthma symptoms cough", US_national_yearly!$D:$AM, 11, FALSE) / VLOOKUP("LULUCF|NOx|Asthma symptoms cough", US_national_yearly!$D:$AM, 10, FALSE), 1)</f>
        <v>1.5511003482966475E-3</v>
      </c>
      <c r="D6" s="7">
        <f>$B6 * IFERROR(VLOOKUP("LULUCF|NOx|Asthma symptoms cough", US_national_yearly!$D:$AM, 12, FALSE) / VLOOKUP("LULUCF|NOx|Asthma symptoms cough", US_national_yearly!$D:$AM, 10, FALSE), 1)</f>
        <v>1.5720204144986122E-3</v>
      </c>
      <c r="E6" s="7">
        <f>$B6 * IFERROR(VLOOKUP("LULUCF|NOx|Asthma symptoms cough", US_national_yearly!$D:$AM, 13, FALSE) / VLOOKUP("LULUCF|NOx|Asthma symptoms cough", US_national_yearly!$D:$AM, 10, FALSE), 1)</f>
        <v>1.5929404807005772E-3</v>
      </c>
      <c r="F6" s="7">
        <f>$B6 * IFERROR(VLOOKUP("LULUCF|NOx|Asthma symptoms cough", US_national_yearly!$D:$AM, 14, FALSE) / VLOOKUP("LULUCF|NOx|Asthma symptoms cough", US_national_yearly!$D:$AM, 10, FALSE), 1)</f>
        <v>1.6138605469025419E-3</v>
      </c>
      <c r="G6" s="7">
        <f>$B6 * IFERROR(VLOOKUP("LULUCF|NOx|Asthma symptoms cough", US_national_yearly!$D:$AM, 15, FALSE) / VLOOKUP("LULUCF|NOx|Asthma symptoms cough", US_national_yearly!$D:$AM, 10, FALSE), 1)</f>
        <v>1.6305622963830614E-3</v>
      </c>
      <c r="H6" s="7">
        <f>$B6 * IFERROR(VLOOKUP("LULUCF|NOx|Asthma symptoms cough", US_national_yearly!$D:$AM, 16, FALSE) / VLOOKUP("LULUCF|NOx|Asthma symptoms cough", US_national_yearly!$D:$AM, 10, FALSE), 1)</f>
        <v>1.6472640458635814E-3</v>
      </c>
      <c r="I6" s="7">
        <f>$B6 * IFERROR(VLOOKUP("LULUCF|NOx|Asthma symptoms cough", US_national_yearly!$D:$AM, 17, FALSE) / VLOOKUP("LULUCF|NOx|Asthma symptoms cough", US_national_yearly!$D:$AM, 10, FALSE), 1)</f>
        <v>1.6530125492707193E-3</v>
      </c>
      <c r="J6" s="7">
        <f>$B6 * IFERROR(VLOOKUP("LULUCF|NOx|Asthma symptoms cough", US_national_yearly!$D:$AM, 18, FALSE) / VLOOKUP("LULUCF|NOx|Asthma symptoms cough", US_national_yearly!$D:$AM, 10, FALSE), 1)</f>
        <v>1.6587610526778574E-3</v>
      </c>
      <c r="K6" s="7">
        <f>$B6 * IFERROR(VLOOKUP("LULUCF|NOx|Asthma symptoms cough", US_national_yearly!$D:$AM, 19, FALSE) / VLOOKUP("LULUCF|NOx|Asthma symptoms cough", US_national_yearly!$D:$AM, 10, FALSE), 1)</f>
        <v>1.6645095560849953E-3</v>
      </c>
      <c r="L6" s="7">
        <f>$B6 * IFERROR(VLOOKUP("LULUCF|NOx|Asthma symptoms cough", US_national_yearly!$D:$AM, 20, FALSE) / VLOOKUP("LULUCF|NOx|Asthma symptoms cough", US_national_yearly!$D:$AM, 10, FALSE), 1)</f>
        <v>1.6702580594921332E-3</v>
      </c>
      <c r="M6" s="7">
        <f>$B6 * IFERROR(VLOOKUP("LULUCF|NOx|Asthma symptoms cough", US_national_yearly!$D:$AM, 21, FALSE) / VLOOKUP("LULUCF|NOx|Asthma symptoms cough", US_national_yearly!$D:$AM, 10, FALSE), 1)</f>
        <v>1.6760065628992713E-3</v>
      </c>
      <c r="N6" s="7">
        <f>$B6 * IFERROR(VLOOKUP("LULUCF|NOx|Asthma symptoms cough", US_national_yearly!$D:$AM, 22, FALSE) / VLOOKUP("LULUCF|NOx|Asthma symptoms cough", US_national_yearly!$D:$AM, 10, FALSE), 1)</f>
        <v>1.6826723806752009E-3</v>
      </c>
      <c r="O6" s="7">
        <f>$B6 * IFERROR(VLOOKUP("LULUCF|NOx|Asthma symptoms cough", US_national_yearly!$D:$AM, 23, FALSE) / VLOOKUP("LULUCF|NOx|Asthma symptoms cough", US_national_yearly!$D:$AM, 10, FALSE), 1)</f>
        <v>1.6893381984511304E-3</v>
      </c>
      <c r="P6" s="7">
        <f>$B6 * IFERROR(VLOOKUP("LULUCF|NOx|Asthma symptoms cough", US_national_yearly!$D:$AM, 24, FALSE) / VLOOKUP("LULUCF|NOx|Asthma symptoms cough", US_national_yearly!$D:$AM, 10, FALSE), 1)</f>
        <v>1.6960040162270597E-3</v>
      </c>
      <c r="Q6" s="7">
        <f>$B6 * IFERROR(VLOOKUP("LULUCF|NOx|Asthma symptoms cough", US_national_yearly!$D:$AM, 25, FALSE) / VLOOKUP("LULUCF|NOx|Asthma symptoms cough", US_national_yearly!$D:$AM, 10, FALSE), 1)</f>
        <v>1.7026698340029897E-3</v>
      </c>
      <c r="R6" s="7">
        <f>$B6 * IFERROR(VLOOKUP("LULUCF|NOx|Asthma symptoms cough", US_national_yearly!$D:$AM, 26, FALSE) / VLOOKUP("LULUCF|NOx|Asthma symptoms cough", US_national_yearly!$D:$AM, 10, FALSE), 1)</f>
        <v>1.7093356517789192E-3</v>
      </c>
      <c r="S6" s="7">
        <f>$B6 * IFERROR(VLOOKUP("LULUCF|NOx|Asthma symptoms cough", US_national_yearly!$D:$AM, 27, FALSE) / VLOOKUP("LULUCF|NOx|Asthma symptoms cough", US_national_yearly!$D:$AM, 10, FALSE), 1)</f>
        <v>1.7180433328415133E-3</v>
      </c>
      <c r="T6" s="7">
        <f>$B6 * IFERROR(VLOOKUP("LULUCF|NOx|Asthma symptoms cough", US_national_yearly!$D:$AM, 28, FALSE) / VLOOKUP("LULUCF|NOx|Asthma symptoms cough", US_national_yearly!$D:$AM, 10, FALSE), 1)</f>
        <v>1.7267510139041069E-3</v>
      </c>
      <c r="U6" s="7">
        <f>$B6 * IFERROR(VLOOKUP("LULUCF|NOx|Asthma symptoms cough", US_national_yearly!$D:$AM, 29, FALSE) / VLOOKUP("LULUCF|NOx|Asthma symptoms cough", US_national_yearly!$D:$AM, 10, FALSE), 1)</f>
        <v>1.7354586949667001E-3</v>
      </c>
      <c r="V6" s="7">
        <f>$B6 * IFERROR(VLOOKUP("LULUCF|NOx|Asthma symptoms cough", US_national_yearly!$D:$AM, 30, FALSE) / VLOOKUP("LULUCF|NOx|Asthma symptoms cough", US_national_yearly!$D:$AM, 10, FALSE), 1)</f>
        <v>1.7441663760292942E-3</v>
      </c>
      <c r="W6" s="7">
        <f>$B6 * IFERROR(VLOOKUP("LULUCF|NOx|Asthma symptoms cough", US_national_yearly!$D:$AM, 31, FALSE) / VLOOKUP("LULUCF|NOx|Asthma symptoms cough", US_national_yearly!$D:$AM, 10, FALSE), 1)</f>
        <v>1.7528740570918878E-3</v>
      </c>
      <c r="X6" s="7">
        <f>$B6 * IFERROR(VLOOKUP("LULUCF|NOx|Asthma symptoms cough", US_national_yearly!$D:$AM, 32, FALSE) / VLOOKUP("LULUCF|NOx|Asthma symptoms cough", US_national_yearly!$D:$AM, 10, FALSE), 1)</f>
        <v>1.7609647439669601E-3</v>
      </c>
      <c r="Y6" s="7">
        <f>$B6 * IFERROR(VLOOKUP("LULUCF|NOx|Asthma symptoms cough", US_national_yearly!$D:$AM, 33, FALSE) / VLOOKUP("LULUCF|NOx|Asthma symptoms cough", US_national_yearly!$D:$AM, 10, FALSE), 1)</f>
        <v>1.7690554308420323E-3</v>
      </c>
      <c r="Z6" s="7">
        <f>$B6 * IFERROR(VLOOKUP("LULUCF|NOx|Asthma symptoms cough", US_national_yearly!$D:$AM, 34, FALSE) / VLOOKUP("LULUCF|NOx|Asthma symptoms cough", US_national_yearly!$D:$AM, 10, FALSE), 1)</f>
        <v>1.7771461177171044E-3</v>
      </c>
      <c r="AA6" s="7">
        <f>$B6 * IFERROR(VLOOKUP("LULUCF|NOx|Asthma symptoms cough", US_national_yearly!$D:$AM, 35, FALSE) / VLOOKUP("LULUCF|NOx|Asthma symptoms cough", US_national_yearly!$D:$AM, 10, FALSE), 1)</f>
        <v>1.7852368045921767E-3</v>
      </c>
      <c r="AB6" s="7">
        <f>$B6 * IFERROR(VLOOKUP("LULUCF|NOx|Asthma symptoms cough", US_national_yearly!$D:$AM, 36, FALSE) / VLOOKUP("LULUCF|NOx|Asthma symptoms cough", US_national_yearly!$D:$AM, 10, FALSE), 1)</f>
        <v>1.7933274914672492E-3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2.0605603965219705E-3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2.0887316260032795E-3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2.1169028554845881E-3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2.145074084965897E-3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2.173245314447206E-3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2.1957361045051313E-3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2.2182268945630567E-3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2.2259679029397119E-3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2.2337089113163666E-3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2.2414499196930218E-3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2.249190928069677E-3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2.2569319364463322E-3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2.2659082121412074E-3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2.2748844878360827E-3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2.2838607635309576E-3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2.2928370392258333E-3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2.3018133149207086E-3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2.3135391899337006E-3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2.325265064946693E-3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2.3369909399596849E-3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2.3487168149726764E-3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2.3604426899856683E-3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2.371337712704332E-3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2.3822327354229961E-3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2.3931277581416607E-3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2.4040227808603248E-3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2.4149178035789889E-3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3.1483631701161598E-3</v>
      </c>
      <c r="C8" s="7">
        <f>$B8 * IFERROR(VLOOKUP("LULUCF|NOx|Asthma symptoms wheeze", US_national_yearly!$D:$AM, 11, FALSE) / VLOOKUP("LULUCF|NOx|Asthma symptoms wheeze", US_national_yearly!$D:$AM, 10, FALSE), 1)</f>
        <v>3.1914064420810284E-3</v>
      </c>
      <c r="D8" s="7">
        <f>$B8 * IFERROR(VLOOKUP("LULUCF|NOx|Asthma symptoms wheeze", US_national_yearly!$D:$AM, 12, FALSE) / VLOOKUP("LULUCF|NOx|Asthma symptoms wheeze", US_national_yearly!$D:$AM, 10, FALSE), 1)</f>
        <v>3.2344497140458987E-3</v>
      </c>
      <c r="E8" s="7">
        <f>$B8 * IFERROR(VLOOKUP("LULUCF|NOx|Asthma symptoms wheeze", US_national_yearly!$D:$AM, 13, FALSE) / VLOOKUP("LULUCF|NOx|Asthma symptoms wheeze", US_national_yearly!$D:$AM, 10, FALSE), 1)</f>
        <v>3.2774929860107673E-3</v>
      </c>
      <c r="F8" s="7">
        <f>$B8 * IFERROR(VLOOKUP("LULUCF|NOx|Asthma symptoms wheeze", US_national_yearly!$D:$AM, 14, FALSE) / VLOOKUP("LULUCF|NOx|Asthma symptoms wheeze", US_national_yearly!$D:$AM, 10, FALSE), 1)</f>
        <v>3.3205362579756359E-3</v>
      </c>
      <c r="G8" s="7">
        <f>$B8 * IFERROR(VLOOKUP("LULUCF|NOx|Asthma symptoms wheeze", US_national_yearly!$D:$AM, 15, FALSE) / VLOOKUP("LULUCF|NOx|Asthma symptoms wheeze", US_national_yearly!$D:$AM, 10, FALSE), 1)</f>
        <v>3.354900295774291E-3</v>
      </c>
      <c r="H8" s="7">
        <f>$B8 * IFERROR(VLOOKUP("LULUCF|NOx|Asthma symptoms wheeze", US_national_yearly!$D:$AM, 16, FALSE) / VLOOKUP("LULUCF|NOx|Asthma symptoms wheeze", US_national_yearly!$D:$AM, 10, FALSE), 1)</f>
        <v>3.3892643335729456E-3</v>
      </c>
      <c r="I8" s="7">
        <f>$B8 * IFERROR(VLOOKUP("LULUCF|NOx|Asthma symptoms wheeze", US_national_yearly!$D:$AM, 17, FALSE) / VLOOKUP("LULUCF|NOx|Asthma symptoms wheeze", US_national_yearly!$D:$AM, 10, FALSE), 1)</f>
        <v>3.4010919441671873E-3</v>
      </c>
      <c r="J8" s="7">
        <f>$B8 * IFERROR(VLOOKUP("LULUCF|NOx|Asthma symptoms wheeze", US_national_yearly!$D:$AM, 18, FALSE) / VLOOKUP("LULUCF|NOx|Asthma symptoms wheeze", US_national_yearly!$D:$AM, 10, FALSE), 1)</f>
        <v>3.4129195547614294E-3</v>
      </c>
      <c r="K8" s="7">
        <f>$B8 * IFERROR(VLOOKUP("LULUCF|NOx|Asthma symptoms wheeze", US_national_yearly!$D:$AM, 19, FALSE) / VLOOKUP("LULUCF|NOx|Asthma symptoms wheeze", US_national_yearly!$D:$AM, 10, FALSE), 1)</f>
        <v>3.4247471653556698E-3</v>
      </c>
      <c r="L8" s="7">
        <f>$B8 * IFERROR(VLOOKUP("LULUCF|NOx|Asthma symptoms wheeze", US_national_yearly!$D:$AM, 20, FALSE) / VLOOKUP("LULUCF|NOx|Asthma symptoms wheeze", US_national_yearly!$D:$AM, 10, FALSE), 1)</f>
        <v>3.4365747759499119E-3</v>
      </c>
      <c r="M8" s="7">
        <f>$B8 * IFERROR(VLOOKUP("LULUCF|NOx|Asthma symptoms wheeze", US_national_yearly!$D:$AM, 21, FALSE) / VLOOKUP("LULUCF|NOx|Asthma symptoms wheeze", US_national_yearly!$D:$AM, 10, FALSE), 1)</f>
        <v>3.4484023865441532E-3</v>
      </c>
      <c r="N8" s="7">
        <f>$B8 * IFERROR(VLOOKUP("LULUCF|NOx|Asthma symptoms wheeze", US_national_yearly!$D:$AM, 22, FALSE) / VLOOKUP("LULUCF|NOx|Asthma symptoms wheeze", US_national_yearly!$D:$AM, 10, FALSE), 1)</f>
        <v>3.4621173818035153E-3</v>
      </c>
      <c r="O8" s="7">
        <f>$B8 * IFERROR(VLOOKUP("LULUCF|NOx|Asthma symptoms wheeze", US_national_yearly!$D:$AM, 23, FALSE) / VLOOKUP("LULUCF|NOx|Asthma symptoms wheeze", US_national_yearly!$D:$AM, 10, FALSE), 1)</f>
        <v>3.4758323770628782E-3</v>
      </c>
      <c r="P8" s="7">
        <f>$B8 * IFERROR(VLOOKUP("LULUCF|NOx|Asthma symptoms wheeze", US_national_yearly!$D:$AM, 24, FALSE) / VLOOKUP("LULUCF|NOx|Asthma symptoms wheeze", US_national_yearly!$D:$AM, 10, FALSE), 1)</f>
        <v>3.4895473723222403E-3</v>
      </c>
      <c r="Q8" s="7">
        <f>$B8 * IFERROR(VLOOKUP("LULUCF|NOx|Asthma symptoms wheeze", US_national_yearly!$D:$AM, 25, FALSE) / VLOOKUP("LULUCF|NOx|Asthma symptoms wheeze", US_national_yearly!$D:$AM, 10, FALSE), 1)</f>
        <v>3.5032623675816032E-3</v>
      </c>
      <c r="R8" s="7">
        <f>$B8 * IFERROR(VLOOKUP("LULUCF|NOx|Asthma symptoms wheeze", US_national_yearly!$D:$AM, 26, FALSE) / VLOOKUP("LULUCF|NOx|Asthma symptoms wheeze", US_national_yearly!$D:$AM, 10, FALSE), 1)</f>
        <v>3.5169773628409653E-3</v>
      </c>
      <c r="S8" s="7">
        <f>$B8 * IFERROR(VLOOKUP("LULUCF|NOx|Asthma symptoms wheeze", US_national_yearly!$D:$AM, 27, FALSE) / VLOOKUP("LULUCF|NOx|Asthma symptoms wheeze", US_national_yearly!$D:$AM, 10, FALSE), 1)</f>
        <v>3.5348935148327015E-3</v>
      </c>
      <c r="T8" s="7">
        <f>$B8 * IFERROR(VLOOKUP("LULUCF|NOx|Asthma symptoms wheeze", US_national_yearly!$D:$AM, 28, FALSE) / VLOOKUP("LULUCF|NOx|Asthma symptoms wheeze", US_national_yearly!$D:$AM, 10, FALSE), 1)</f>
        <v>3.5528096668244373E-3</v>
      </c>
      <c r="U8" s="7">
        <f>$B8 * IFERROR(VLOOKUP("LULUCF|NOx|Asthma symptoms wheeze", US_national_yearly!$D:$AM, 29, FALSE) / VLOOKUP("LULUCF|NOx|Asthma symptoms wheeze", US_national_yearly!$D:$AM, 10, FALSE), 1)</f>
        <v>3.5707258188161731E-3</v>
      </c>
      <c r="V8" s="7">
        <f>$B8 * IFERROR(VLOOKUP("LULUCF|NOx|Asthma symptoms wheeze", US_national_yearly!$D:$AM, 30, FALSE) / VLOOKUP("LULUCF|NOx|Asthma symptoms wheeze", US_national_yearly!$D:$AM, 10, FALSE), 1)</f>
        <v>3.5886419708079098E-3</v>
      </c>
      <c r="W8" s="7">
        <f>$B8 * IFERROR(VLOOKUP("LULUCF|NOx|Asthma symptoms wheeze", US_national_yearly!$D:$AM, 31, FALSE) / VLOOKUP("LULUCF|NOx|Asthma symptoms wheeze", US_national_yearly!$D:$AM, 10, FALSE), 1)</f>
        <v>3.6065581227996452E-3</v>
      </c>
      <c r="X8" s="7">
        <f>$B8 * IFERROR(VLOOKUP("LULUCF|NOx|Asthma symptoms wheeze", US_national_yearly!$D:$AM, 32, FALSE) / VLOOKUP("LULUCF|NOx|Asthma symptoms wheeze", US_national_yearly!$D:$AM, 10, FALSE), 1)</f>
        <v>3.6232048022864236E-3</v>
      </c>
      <c r="Y8" s="7">
        <f>$B8 * IFERROR(VLOOKUP("LULUCF|NOx|Asthma symptoms wheeze", US_national_yearly!$D:$AM, 33, FALSE) / VLOOKUP("LULUCF|NOx|Asthma symptoms wheeze", US_national_yearly!$D:$AM, 10, FALSE), 1)</f>
        <v>3.6398514817732011E-3</v>
      </c>
      <c r="Z8" s="7">
        <f>$B8 * IFERROR(VLOOKUP("LULUCF|NOx|Asthma symptoms wheeze", US_national_yearly!$D:$AM, 34, FALSE) / VLOOKUP("LULUCF|NOx|Asthma symptoms wheeze", US_national_yearly!$D:$AM, 10, FALSE), 1)</f>
        <v>3.6564981612599795E-3</v>
      </c>
      <c r="AA8" s="7">
        <f>$B8 * IFERROR(VLOOKUP("LULUCF|NOx|Asthma symptoms wheeze", US_national_yearly!$D:$AM, 35, FALSE) / VLOOKUP("LULUCF|NOx|Asthma symptoms wheeze", US_national_yearly!$D:$AM, 10, FALSE), 1)</f>
        <v>3.6731448407467575E-3</v>
      </c>
      <c r="AB8" s="7">
        <f>$B8 * IFERROR(VLOOKUP("LULUCF|NOx|Asthma symptoms wheeze", US_national_yearly!$D:$AM, 36, FALSE) / VLOOKUP("LULUCF|NOx|Asthma symptoms wheeze", US_national_yearly!$D:$AM, 10, FALSE), 1)</f>
        <v>3.6897915202335359E-3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3.0352559938572495E-5</v>
      </c>
      <c r="C12" s="7">
        <f>$B12 * IFERROR(VLOOKUP("LULUCF|NOx|Respiratory hospital admissions", US_national_yearly!$D:$AM, 11, FALSE) / VLOOKUP("LULUCF|NOx|Respiratory hospital admissions", US_national_yearly!$D:$AM, 10, FALSE), 1)</f>
        <v>3.1109694369105525E-5</v>
      </c>
      <c r="D12" s="7">
        <f>$B12 * IFERROR(VLOOKUP("LULUCF|NOx|Respiratory hospital admissions", US_national_yearly!$D:$AM, 12, FALSE) / VLOOKUP("LULUCF|NOx|Respiratory hospital admissions", US_national_yearly!$D:$AM, 10, FALSE), 1)</f>
        <v>3.1866828799638562E-5</v>
      </c>
      <c r="E12" s="7">
        <f>$B12 * IFERROR(VLOOKUP("LULUCF|NOx|Respiratory hospital admissions", US_national_yearly!$D:$AM, 13, FALSE) / VLOOKUP("LULUCF|NOx|Respiratory hospital admissions", US_national_yearly!$D:$AM, 10, FALSE), 1)</f>
        <v>3.2623963230171598E-5</v>
      </c>
      <c r="F12" s="7">
        <f>$B12 * IFERROR(VLOOKUP("LULUCF|NOx|Respiratory hospital admissions", US_national_yearly!$D:$AM, 14, FALSE) / VLOOKUP("LULUCF|NOx|Respiratory hospital admissions", US_national_yearly!$D:$AM, 10, FALSE), 1)</f>
        <v>3.3381097660704628E-5</v>
      </c>
      <c r="G12" s="7">
        <f>$B12 * IFERROR(VLOOKUP("LULUCF|NOx|Respiratory hospital admissions", US_national_yearly!$D:$AM, 15, FALSE) / VLOOKUP("LULUCF|NOx|Respiratory hospital admissions", US_national_yearly!$D:$AM, 10, FALSE), 1)</f>
        <v>3.4104943946082714E-5</v>
      </c>
      <c r="H12" s="7">
        <f>$B12 * IFERROR(VLOOKUP("LULUCF|NOx|Respiratory hospital admissions", US_national_yearly!$D:$AM, 16, FALSE) / VLOOKUP("LULUCF|NOx|Respiratory hospital admissions", US_national_yearly!$D:$AM, 10, FALSE), 1)</f>
        <v>3.4828790231460793E-5</v>
      </c>
      <c r="I12" s="7">
        <f>$B12 * IFERROR(VLOOKUP("LULUCF|NOx|Respiratory hospital admissions", US_national_yearly!$D:$AM, 17, FALSE) / VLOOKUP("LULUCF|NOx|Respiratory hospital admissions", US_national_yearly!$D:$AM, 10, FALSE), 1)</f>
        <v>3.5443350608520467E-5</v>
      </c>
      <c r="J12" s="7">
        <f>$B12 * IFERROR(VLOOKUP("LULUCF|NOx|Respiratory hospital admissions", US_national_yearly!$D:$AM, 18, FALSE) / VLOOKUP("LULUCF|NOx|Respiratory hospital admissions", US_national_yearly!$D:$AM, 10, FALSE), 1)</f>
        <v>3.6057910985580127E-5</v>
      </c>
      <c r="K12" s="7">
        <f>$B12 * IFERROR(VLOOKUP("LULUCF|NOx|Respiratory hospital admissions", US_national_yearly!$D:$AM, 19, FALSE) / VLOOKUP("LULUCF|NOx|Respiratory hospital admissions", US_national_yearly!$D:$AM, 10, FALSE), 1)</f>
        <v>3.6672471362639801E-5</v>
      </c>
      <c r="L12" s="7">
        <f>$B12 * IFERROR(VLOOKUP("LULUCF|NOx|Respiratory hospital admissions", US_national_yearly!$D:$AM, 20, FALSE) / VLOOKUP("LULUCF|NOx|Respiratory hospital admissions", US_national_yearly!$D:$AM, 10, FALSE), 1)</f>
        <v>3.7287031739699475E-5</v>
      </c>
      <c r="M12" s="7">
        <f>$B12 * IFERROR(VLOOKUP("LULUCF|NOx|Respiratory hospital admissions", US_national_yearly!$D:$AM, 21, FALSE) / VLOOKUP("LULUCF|NOx|Respiratory hospital admissions", US_national_yearly!$D:$AM, 10, FALSE), 1)</f>
        <v>3.7901592116759143E-5</v>
      </c>
      <c r="N12" s="7">
        <f>$B12 * IFERROR(VLOOKUP("LULUCF|NOx|Respiratory hospital admissions", US_national_yearly!$D:$AM, 22, FALSE) / VLOOKUP("LULUCF|NOx|Respiratory hospital admissions", US_national_yearly!$D:$AM, 10, FALSE), 1)</f>
        <v>3.8312436793712319E-5</v>
      </c>
      <c r="O12" s="7">
        <f>$B12 * IFERROR(VLOOKUP("LULUCF|NOx|Respiratory hospital admissions", US_national_yearly!$D:$AM, 23, FALSE) / VLOOKUP("LULUCF|NOx|Respiratory hospital admissions", US_national_yearly!$D:$AM, 10, FALSE), 1)</f>
        <v>3.8723281470665503E-5</v>
      </c>
      <c r="P12" s="7">
        <f>$B12 * IFERROR(VLOOKUP("LULUCF|NOx|Respiratory hospital admissions", US_national_yearly!$D:$AM, 24, FALSE) / VLOOKUP("LULUCF|NOx|Respiratory hospital admissions", US_national_yearly!$D:$AM, 10, FALSE), 1)</f>
        <v>3.9134126147618679E-5</v>
      </c>
      <c r="Q12" s="7">
        <f>$B12 * IFERROR(VLOOKUP("LULUCF|NOx|Respiratory hospital admissions", US_national_yearly!$D:$AM, 25, FALSE) / VLOOKUP("LULUCF|NOx|Respiratory hospital admissions", US_national_yearly!$D:$AM, 10, FALSE), 1)</f>
        <v>3.9544970824571862E-5</v>
      </c>
      <c r="R12" s="7">
        <f>$B12 * IFERROR(VLOOKUP("LULUCF|NOx|Respiratory hospital admissions", US_national_yearly!$D:$AM, 26, FALSE) / VLOOKUP("LULUCF|NOx|Respiratory hospital admissions", US_national_yearly!$D:$AM, 10, FALSE), 1)</f>
        <v>3.9955815501525046E-5</v>
      </c>
      <c r="S12" s="7">
        <f>$B12 * IFERROR(VLOOKUP("LULUCF|NOx|Respiratory hospital admissions", US_national_yearly!$D:$AM, 27, FALSE) / VLOOKUP("LULUCF|NOx|Respiratory hospital admissions", US_national_yearly!$D:$AM, 10, FALSE), 1)</f>
        <v>4.0175934946835338E-5</v>
      </c>
      <c r="T12" s="7">
        <f>$B12 * IFERROR(VLOOKUP("LULUCF|NOx|Respiratory hospital admissions", US_national_yearly!$D:$AM, 28, FALSE) / VLOOKUP("LULUCF|NOx|Respiratory hospital admissions", US_national_yearly!$D:$AM, 10, FALSE), 1)</f>
        <v>4.0396054392145631E-5</v>
      </c>
      <c r="U12" s="7">
        <f>$B12 * IFERROR(VLOOKUP("LULUCF|NOx|Respiratory hospital admissions", US_national_yearly!$D:$AM, 29, FALSE) / VLOOKUP("LULUCF|NOx|Respiratory hospital admissions", US_national_yearly!$D:$AM, 10, FALSE), 1)</f>
        <v>4.0616173837455924E-5</v>
      </c>
      <c r="V12" s="7">
        <f>$B12 * IFERROR(VLOOKUP("LULUCF|NOx|Respiratory hospital admissions", US_national_yearly!$D:$AM, 30, FALSE) / VLOOKUP("LULUCF|NOx|Respiratory hospital admissions", US_national_yearly!$D:$AM, 10, FALSE), 1)</f>
        <v>4.0836293282766216E-5</v>
      </c>
      <c r="W12" s="7">
        <f>$B12 * IFERROR(VLOOKUP("LULUCF|NOx|Respiratory hospital admissions", US_national_yearly!$D:$AM, 31, FALSE) / VLOOKUP("LULUCF|NOx|Respiratory hospital admissions", US_national_yearly!$D:$AM, 10, FALSE), 1)</f>
        <v>4.1056412728076516E-5</v>
      </c>
      <c r="X12" s="7">
        <f>$B12 * IFERROR(VLOOKUP("LULUCF|NOx|Respiratory hospital admissions", US_national_yearly!$D:$AM, 32, FALSE) / VLOOKUP("LULUCF|NOx|Respiratory hospital admissions", US_national_yearly!$D:$AM, 10, FALSE), 1)</f>
        <v>4.1206835771801489E-5</v>
      </c>
      <c r="Y12" s="7">
        <f>$B12 * IFERROR(VLOOKUP("LULUCF|NOx|Respiratory hospital admissions", US_national_yearly!$D:$AM, 33, FALSE) / VLOOKUP("LULUCF|NOx|Respiratory hospital admissions", US_national_yearly!$D:$AM, 10, FALSE), 1)</f>
        <v>4.1357258815526469E-5</v>
      </c>
      <c r="Z12" s="7">
        <f>$B12 * IFERROR(VLOOKUP("LULUCF|NOx|Respiratory hospital admissions", US_national_yearly!$D:$AM, 34, FALSE) / VLOOKUP("LULUCF|NOx|Respiratory hospital admissions", US_national_yearly!$D:$AM, 10, FALSE), 1)</f>
        <v>4.1507681859251456E-5</v>
      </c>
      <c r="AA12" s="7">
        <f>$B12 * IFERROR(VLOOKUP("LULUCF|NOx|Respiratory hospital admissions", US_national_yearly!$D:$AM, 35, FALSE) / VLOOKUP("LULUCF|NOx|Respiratory hospital admissions", US_national_yearly!$D:$AM, 10, FALSE), 1)</f>
        <v>4.1658104902976435E-5</v>
      </c>
      <c r="AB12" s="7">
        <f>$B12 * IFERROR(VLOOKUP("LULUCF|NOx|Respiratory hospital admissions", US_national_yearly!$D:$AM, 36, FALSE) / VLOOKUP("LULUCF|NOx|Respiratory hospital admissions", US_national_yearly!$D:$AM, 10, FALSE), 1)</f>
        <v>4.1808527946701408E-5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1.8725859585112315E-4</v>
      </c>
      <c r="C13" s="7">
        <f>$B13 * IFERROR(VLOOKUP("LULUCF|NOx|Non-fatal heart attacks", US_national_yearly!$D:$AM, 11, FALSE) / VLOOKUP("LULUCF|NOx|Non-fatal heart attacks", US_national_yearly!$D:$AM, 10, FALSE), 1)</f>
        <v>1.9261215412115737E-4</v>
      </c>
      <c r="D13" s="7">
        <f>$B13 * IFERROR(VLOOKUP("LULUCF|NOx|Non-fatal heart attacks", US_national_yearly!$D:$AM, 12, FALSE) / VLOOKUP("LULUCF|NOx|Non-fatal heart attacks", US_national_yearly!$D:$AM, 10, FALSE), 1)</f>
        <v>1.9796571239119159E-4</v>
      </c>
      <c r="E13" s="7">
        <f>$B13 * IFERROR(VLOOKUP("LULUCF|NOx|Non-fatal heart attacks", US_national_yearly!$D:$AM, 13, FALSE) / VLOOKUP("LULUCF|NOx|Non-fatal heart attacks", US_national_yearly!$D:$AM, 10, FALSE), 1)</f>
        <v>2.0331927066122575E-4</v>
      </c>
      <c r="F13" s="7">
        <f>$B13 * IFERROR(VLOOKUP("LULUCF|NOx|Non-fatal heart attacks", US_national_yearly!$D:$AM, 14, FALSE) / VLOOKUP("LULUCF|NOx|Non-fatal heart attacks", US_national_yearly!$D:$AM, 10, FALSE), 1)</f>
        <v>2.0867282893125997E-4</v>
      </c>
      <c r="G13" s="7">
        <f>$B13 * IFERROR(VLOOKUP("LULUCF|NOx|Non-fatal heart attacks", US_national_yearly!$D:$AM, 15, FALSE) / VLOOKUP("LULUCF|NOx|Non-fatal heart attacks", US_national_yearly!$D:$AM, 10, FALSE), 1)</f>
        <v>2.1367571800805457E-4</v>
      </c>
      <c r="H13" s="7">
        <f>$B13 * IFERROR(VLOOKUP("LULUCF|NOx|Non-fatal heart attacks", US_national_yearly!$D:$AM, 16, FALSE) / VLOOKUP("LULUCF|NOx|Non-fatal heart attacks", US_national_yearly!$D:$AM, 10, FALSE), 1)</f>
        <v>2.1867860708484914E-4</v>
      </c>
      <c r="I13" s="7">
        <f>$B13 * IFERROR(VLOOKUP("LULUCF|NOx|Non-fatal heart attacks", US_national_yearly!$D:$AM, 17, FALSE) / VLOOKUP("LULUCF|NOx|Non-fatal heart attacks", US_national_yearly!$D:$AM, 10, FALSE), 1)</f>
        <v>2.2262281323707586E-4</v>
      </c>
      <c r="J13" s="7">
        <f>$B13 * IFERROR(VLOOKUP("LULUCF|NOx|Non-fatal heart attacks", US_national_yearly!$D:$AM, 18, FALSE) / VLOOKUP("LULUCF|NOx|Non-fatal heart attacks", US_national_yearly!$D:$AM, 10, FALSE), 1)</f>
        <v>2.2656701938930264E-4</v>
      </c>
      <c r="K13" s="7">
        <f>$B13 * IFERROR(VLOOKUP("LULUCF|NOx|Non-fatal heart attacks", US_national_yearly!$D:$AM, 19, FALSE) / VLOOKUP("LULUCF|NOx|Non-fatal heart attacks", US_national_yearly!$D:$AM, 10, FALSE), 1)</f>
        <v>2.3051122554152922E-4</v>
      </c>
      <c r="L13" s="7">
        <f>$B13 * IFERROR(VLOOKUP("LULUCF|NOx|Non-fatal heart attacks", US_national_yearly!$D:$AM, 20, FALSE) / VLOOKUP("LULUCF|NOx|Non-fatal heart attacks", US_national_yearly!$D:$AM, 10, FALSE), 1)</f>
        <v>2.344554316937561E-4</v>
      </c>
      <c r="M13" s="7">
        <f>$B13 * IFERROR(VLOOKUP("LULUCF|NOx|Non-fatal heart attacks", US_national_yearly!$D:$AM, 21, FALSE) / VLOOKUP("LULUCF|NOx|Non-fatal heart attacks", US_national_yearly!$D:$AM, 10, FALSE), 1)</f>
        <v>2.3839963784598277E-4</v>
      </c>
      <c r="N13" s="7">
        <f>$B13 * IFERROR(VLOOKUP("LULUCF|NOx|Non-fatal heart attacks", US_national_yearly!$D:$AM, 22, FALSE) / VLOOKUP("LULUCF|NOx|Non-fatal heart attacks", US_national_yearly!$D:$AM, 10, FALSE), 1)</f>
        <v>2.4077259188143687E-4</v>
      </c>
      <c r="O13" s="7">
        <f>$B13 * IFERROR(VLOOKUP("LULUCF|NOx|Non-fatal heart attacks", US_national_yearly!$D:$AM, 23, FALSE) / VLOOKUP("LULUCF|NOx|Non-fatal heart attacks", US_national_yearly!$D:$AM, 10, FALSE), 1)</f>
        <v>2.4314554591689096E-4</v>
      </c>
      <c r="P13" s="7">
        <f>$B13 * IFERROR(VLOOKUP("LULUCF|NOx|Non-fatal heart attacks", US_national_yearly!$D:$AM, 24, FALSE) / VLOOKUP("LULUCF|NOx|Non-fatal heart attacks", US_national_yearly!$D:$AM, 10, FALSE), 1)</f>
        <v>2.45518499952345E-4</v>
      </c>
      <c r="Q13" s="7">
        <f>$B13 * IFERROR(VLOOKUP("LULUCF|NOx|Non-fatal heart attacks", US_national_yearly!$D:$AM, 25, FALSE) / VLOOKUP("LULUCF|NOx|Non-fatal heart attacks", US_national_yearly!$D:$AM, 10, FALSE), 1)</f>
        <v>2.4789145398779915E-4</v>
      </c>
      <c r="R13" s="7">
        <f>$B13 * IFERROR(VLOOKUP("LULUCF|NOx|Non-fatal heart attacks", US_national_yearly!$D:$AM, 26, FALSE) / VLOOKUP("LULUCF|NOx|Non-fatal heart attacks", US_national_yearly!$D:$AM, 10, FALSE), 1)</f>
        <v>2.5026440802325319E-4</v>
      </c>
      <c r="S13" s="7">
        <f>$B13 * IFERROR(VLOOKUP("LULUCF|NOx|Non-fatal heart attacks", US_national_yearly!$D:$AM, 27, FALSE) / VLOOKUP("LULUCF|NOx|Non-fatal heart attacks", US_national_yearly!$D:$AM, 10, FALSE), 1)</f>
        <v>2.5134079638596809E-4</v>
      </c>
      <c r="T13" s="7">
        <f>$B13 * IFERROR(VLOOKUP("LULUCF|NOx|Non-fatal heart attacks", US_national_yearly!$D:$AM, 28, FALSE) / VLOOKUP("LULUCF|NOx|Non-fatal heart attacks", US_national_yearly!$D:$AM, 10, FALSE), 1)</f>
        <v>2.5241718474868294E-4</v>
      </c>
      <c r="U13" s="7">
        <f>$B13 * IFERROR(VLOOKUP("LULUCF|NOx|Non-fatal heart attacks", US_national_yearly!$D:$AM, 29, FALSE) / VLOOKUP("LULUCF|NOx|Non-fatal heart attacks", US_national_yearly!$D:$AM, 10, FALSE), 1)</f>
        <v>2.5349357311139778E-4</v>
      </c>
      <c r="V13" s="7">
        <f>$B13 * IFERROR(VLOOKUP("LULUCF|NOx|Non-fatal heart attacks", US_national_yearly!$D:$AM, 30, FALSE) / VLOOKUP("LULUCF|NOx|Non-fatal heart attacks", US_national_yearly!$D:$AM, 10, FALSE), 1)</f>
        <v>2.5456996147411263E-4</v>
      </c>
      <c r="W13" s="7">
        <f>$B13 * IFERROR(VLOOKUP("LULUCF|NOx|Non-fatal heart attacks", US_national_yearly!$D:$AM, 31, FALSE) / VLOOKUP("LULUCF|NOx|Non-fatal heart attacks", US_national_yearly!$D:$AM, 10, FALSE), 1)</f>
        <v>2.5564634983682747E-4</v>
      </c>
      <c r="X13" s="7">
        <f>$B13 * IFERROR(VLOOKUP("LULUCF|NOx|Non-fatal heart attacks", US_national_yearly!$D:$AM, 32, FALSE) / VLOOKUP("LULUCF|NOx|Non-fatal heart attacks", US_national_yearly!$D:$AM, 10, FALSE), 1)</f>
        <v>2.5636564917842298E-4</v>
      </c>
      <c r="Y13" s="7">
        <f>$B13 * IFERROR(VLOOKUP("LULUCF|NOx|Non-fatal heart attacks", US_national_yearly!$D:$AM, 33, FALSE) / VLOOKUP("LULUCF|NOx|Non-fatal heart attacks", US_national_yearly!$D:$AM, 10, FALSE), 1)</f>
        <v>2.5708494852001853E-4</v>
      </c>
      <c r="Z13" s="7">
        <f>$B13 * IFERROR(VLOOKUP("LULUCF|NOx|Non-fatal heart attacks", US_national_yearly!$D:$AM, 34, FALSE) / VLOOKUP("LULUCF|NOx|Non-fatal heart attacks", US_national_yearly!$D:$AM, 10, FALSE), 1)</f>
        <v>2.5780424786161403E-4</v>
      </c>
      <c r="AA13" s="7">
        <f>$B13 * IFERROR(VLOOKUP("LULUCF|NOx|Non-fatal heart attacks", US_national_yearly!$D:$AM, 35, FALSE) / VLOOKUP("LULUCF|NOx|Non-fatal heart attacks", US_national_yearly!$D:$AM, 10, FALSE), 1)</f>
        <v>2.5852354720320953E-4</v>
      </c>
      <c r="AB13" s="7">
        <f>$B13 * IFERROR(VLOOKUP("LULUCF|NOx|Non-fatal heart attacks", US_national_yearly!$D:$AM, 36, FALSE) / VLOOKUP("LULUCF|NOx|Non-fatal heart attacks", US_national_yearly!$D:$AM, 10, FALSE), 1)</f>
        <v>2.5924284654480509E-4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0.17313891920284302</v>
      </c>
      <c r="C14" s="7">
        <f>$B14 * IFERROR(VLOOKUP("LULUCF|NOx|Minor restricted activity days", US_national_yearly!$D:$AM, 11, FALSE) / VLOOKUP("LULUCF|NOx|Minor restricted activity days", US_national_yearly!$D:$AM, 10, FALSE), 1)</f>
        <v>0.17340437022191588</v>
      </c>
      <c r="D14" s="7">
        <f>$B14 * IFERROR(VLOOKUP("LULUCF|NOx|Minor restricted activity days", US_national_yearly!$D:$AM, 12, FALSE) / VLOOKUP("LULUCF|NOx|Minor restricted activity days", US_national_yearly!$D:$AM, 10, FALSE), 1)</f>
        <v>0.17366982124098876</v>
      </c>
      <c r="E14" s="7">
        <f>$B14 * IFERROR(VLOOKUP("LULUCF|NOx|Minor restricted activity days", US_national_yearly!$D:$AM, 13, FALSE) / VLOOKUP("LULUCF|NOx|Minor restricted activity days", US_national_yearly!$D:$AM, 10, FALSE), 1)</f>
        <v>0.17393527226006167</v>
      </c>
      <c r="F14" s="7">
        <f>$B14 * IFERROR(VLOOKUP("LULUCF|NOx|Minor restricted activity days", US_national_yearly!$D:$AM, 14, FALSE) / VLOOKUP("LULUCF|NOx|Minor restricted activity days", US_national_yearly!$D:$AM, 10, FALSE), 1)</f>
        <v>0.1742007232791345</v>
      </c>
      <c r="G14" s="7">
        <f>$B14 * IFERROR(VLOOKUP("LULUCF|NOx|Minor restricted activity days", US_national_yearly!$D:$AM, 15, FALSE) / VLOOKUP("LULUCF|NOx|Minor restricted activity days", US_national_yearly!$D:$AM, 10, FALSE), 1)</f>
        <v>0.17468006463680835</v>
      </c>
      <c r="H14" s="7">
        <f>$B14 * IFERROR(VLOOKUP("LULUCF|NOx|Minor restricted activity days", US_national_yearly!$D:$AM, 16, FALSE) / VLOOKUP("LULUCF|NOx|Minor restricted activity days", US_national_yearly!$D:$AM, 10, FALSE), 1)</f>
        <v>0.17515940599448215</v>
      </c>
      <c r="I14" s="7">
        <f>$B14 * IFERROR(VLOOKUP("LULUCF|NOx|Minor restricted activity days", US_national_yearly!$D:$AM, 17, FALSE) / VLOOKUP("LULUCF|NOx|Minor restricted activity days", US_national_yearly!$D:$AM, 10, FALSE), 1)</f>
        <v>0.17609697873497354</v>
      </c>
      <c r="J14" s="7">
        <f>$B14 * IFERROR(VLOOKUP("LULUCF|NOx|Minor restricted activity days", US_national_yearly!$D:$AM, 18, FALSE) / VLOOKUP("LULUCF|NOx|Minor restricted activity days", US_national_yearly!$D:$AM, 10, FALSE), 1)</f>
        <v>0.17703455147546487</v>
      </c>
      <c r="K14" s="7">
        <f>$B14 * IFERROR(VLOOKUP("LULUCF|NOx|Minor restricted activity days", US_national_yearly!$D:$AM, 19, FALSE) / VLOOKUP("LULUCF|NOx|Minor restricted activity days", US_national_yearly!$D:$AM, 10, FALSE), 1)</f>
        <v>0.17797212421595623</v>
      </c>
      <c r="L14" s="7">
        <f>$B14 * IFERROR(VLOOKUP("LULUCF|NOx|Minor restricted activity days", US_national_yearly!$D:$AM, 20, FALSE) / VLOOKUP("LULUCF|NOx|Minor restricted activity days", US_national_yearly!$D:$AM, 10, FALSE), 1)</f>
        <v>0.17890969695644757</v>
      </c>
      <c r="M14" s="7">
        <f>$B14 * IFERROR(VLOOKUP("LULUCF|NOx|Minor restricted activity days", US_national_yearly!$D:$AM, 21, FALSE) / VLOOKUP("LULUCF|NOx|Minor restricted activity days", US_national_yearly!$D:$AM, 10, FALSE), 1)</f>
        <v>0.17984726969693893</v>
      </c>
      <c r="N14" s="7">
        <f>$B14 * IFERROR(VLOOKUP("LULUCF|NOx|Minor restricted activity days", US_national_yearly!$D:$AM, 22, FALSE) / VLOOKUP("LULUCF|NOx|Minor restricted activity days", US_national_yearly!$D:$AM, 10, FALSE), 1)</f>
        <v>0.18118966127130823</v>
      </c>
      <c r="O14" s="7">
        <f>$B14 * IFERROR(VLOOKUP("LULUCF|NOx|Minor restricted activity days", US_national_yearly!$D:$AM, 23, FALSE) / VLOOKUP("LULUCF|NOx|Minor restricted activity days", US_national_yearly!$D:$AM, 10, FALSE), 1)</f>
        <v>0.18253205284567753</v>
      </c>
      <c r="P14" s="7">
        <f>$B14 * IFERROR(VLOOKUP("LULUCF|NOx|Minor restricted activity days", US_national_yearly!$D:$AM, 24, FALSE) / VLOOKUP("LULUCF|NOx|Minor restricted activity days", US_national_yearly!$D:$AM, 10, FALSE), 1)</f>
        <v>0.18387444442004683</v>
      </c>
      <c r="Q14" s="7">
        <f>$B14 * IFERROR(VLOOKUP("LULUCF|NOx|Minor restricted activity days", US_national_yearly!$D:$AM, 25, FALSE) / VLOOKUP("LULUCF|NOx|Minor restricted activity days", US_national_yearly!$D:$AM, 10, FALSE), 1)</f>
        <v>0.18521683599441613</v>
      </c>
      <c r="R14" s="7">
        <f>$B14 * IFERROR(VLOOKUP("LULUCF|NOx|Minor restricted activity days", US_national_yearly!$D:$AM, 26, FALSE) / VLOOKUP("LULUCF|NOx|Minor restricted activity days", US_national_yearly!$D:$AM, 10, FALSE), 1)</f>
        <v>0.18655922756878543</v>
      </c>
      <c r="S14" s="7">
        <f>$B14 * IFERROR(VLOOKUP("LULUCF|NOx|Minor restricted activity days", US_national_yearly!$D:$AM, 27, FALSE) / VLOOKUP("LULUCF|NOx|Minor restricted activity days", US_national_yearly!$D:$AM, 10, FALSE), 1)</f>
        <v>0.18790133690819941</v>
      </c>
      <c r="T14" s="7">
        <f>$B14 * IFERROR(VLOOKUP("LULUCF|NOx|Minor restricted activity days", US_national_yearly!$D:$AM, 28, FALSE) / VLOOKUP("LULUCF|NOx|Minor restricted activity days", US_national_yearly!$D:$AM, 10, FALSE), 1)</f>
        <v>0.18924344624761333</v>
      </c>
      <c r="U14" s="7">
        <f>$B14 * IFERROR(VLOOKUP("LULUCF|NOx|Minor restricted activity days", US_national_yearly!$D:$AM, 29, FALSE) / VLOOKUP("LULUCF|NOx|Minor restricted activity days", US_national_yearly!$D:$AM, 10, FALSE), 1)</f>
        <v>0.19058555558702731</v>
      </c>
      <c r="V14" s="7">
        <f>$B14 * IFERROR(VLOOKUP("LULUCF|NOx|Minor restricted activity days", US_national_yearly!$D:$AM, 30, FALSE) / VLOOKUP("LULUCF|NOx|Minor restricted activity days", US_national_yearly!$D:$AM, 10, FALSE), 1)</f>
        <v>0.19192766492644125</v>
      </c>
      <c r="W14" s="7">
        <f>$B14 * IFERROR(VLOOKUP("LULUCF|NOx|Minor restricted activity days", US_national_yearly!$D:$AM, 31, FALSE) / VLOOKUP("LULUCF|NOx|Minor restricted activity days", US_national_yearly!$D:$AM, 10, FALSE), 1)</f>
        <v>0.1932697742658552</v>
      </c>
      <c r="X14" s="7">
        <f>$B14 * IFERROR(VLOOKUP("LULUCF|NOx|Minor restricted activity days", US_national_yearly!$D:$AM, 32, FALSE) / VLOOKUP("LULUCF|NOx|Minor restricted activity days", US_national_yearly!$D:$AM, 10, FALSE), 1)</f>
        <v>0.19440447658356064</v>
      </c>
      <c r="Y14" s="7">
        <f>$B14 * IFERROR(VLOOKUP("LULUCF|NOx|Minor restricted activity days", US_national_yearly!$D:$AM, 33, FALSE) / VLOOKUP("LULUCF|NOx|Minor restricted activity days", US_national_yearly!$D:$AM, 10, FALSE), 1)</f>
        <v>0.19553917890126607</v>
      </c>
      <c r="Z14" s="7">
        <f>$B14 * IFERROR(VLOOKUP("LULUCF|NOx|Minor restricted activity days", US_national_yearly!$D:$AM, 34, FALSE) / VLOOKUP("LULUCF|NOx|Minor restricted activity days", US_national_yearly!$D:$AM, 10, FALSE), 1)</f>
        <v>0.19667388121897153</v>
      </c>
      <c r="AA14" s="7">
        <f>$B14 * IFERROR(VLOOKUP("LULUCF|NOx|Minor restricted activity days", US_national_yearly!$D:$AM, 35, FALSE) / VLOOKUP("LULUCF|NOx|Minor restricted activity days", US_national_yearly!$D:$AM, 10, FALSE), 1)</f>
        <v>0.19780858353667696</v>
      </c>
      <c r="AB14" s="7">
        <f>$B14 * IFERROR(VLOOKUP("LULUCF|NOx|Minor restricted activity days", US_national_yearly!$D:$AM, 36, FALSE) / VLOOKUP("LULUCF|NOx|Minor restricted activity days", US_national_yearly!$D:$AM, 10, FALSE), 1)</f>
        <v>0.1989432858543824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2.9534350764098844E-2</v>
      </c>
      <c r="C15" s="7">
        <f>$B15 * IFERROR(VLOOKUP("LULUCF|NOx|Work loss days", US_national_yearly!$D:$AM, 11, FALSE) / VLOOKUP("LULUCF|NOx|Work loss days", US_national_yearly!$D:$AM, 10, FALSE), 1)</f>
        <v>2.9600048338525874E-2</v>
      </c>
      <c r="D15" s="7">
        <f>$B15 * IFERROR(VLOOKUP("LULUCF|NOx|Work loss days", US_national_yearly!$D:$AM, 12, FALSE) / VLOOKUP("LULUCF|NOx|Work loss days", US_national_yearly!$D:$AM, 10, FALSE), 1)</f>
        <v>2.9665745912952915E-2</v>
      </c>
      <c r="E15" s="7">
        <f>$B15 * IFERROR(VLOOKUP("LULUCF|NOx|Work loss days", US_national_yearly!$D:$AM, 13, FALSE) / VLOOKUP("LULUCF|NOx|Work loss days", US_national_yearly!$D:$AM, 10, FALSE), 1)</f>
        <v>2.9731443487379945E-2</v>
      </c>
      <c r="F15" s="7">
        <f>$B15 * IFERROR(VLOOKUP("LULUCF|NOx|Work loss days", US_national_yearly!$D:$AM, 14, FALSE) / VLOOKUP("LULUCF|NOx|Work loss days", US_national_yearly!$D:$AM, 10, FALSE), 1)</f>
        <v>2.9797141061806982E-2</v>
      </c>
      <c r="G15" s="7">
        <f>$B15 * IFERROR(VLOOKUP("LULUCF|NOx|Work loss days", US_national_yearly!$D:$AM, 15, FALSE) / VLOOKUP("LULUCF|NOx|Work loss days", US_national_yearly!$D:$AM, 10, FALSE), 1)</f>
        <v>2.9893060080899932E-2</v>
      </c>
      <c r="H15" s="7">
        <f>$B15 * IFERROR(VLOOKUP("LULUCF|NOx|Work loss days", US_national_yearly!$D:$AM, 16, FALSE) / VLOOKUP("LULUCF|NOx|Work loss days", US_national_yearly!$D:$AM, 10, FALSE), 1)</f>
        <v>2.9988979099992888E-2</v>
      </c>
      <c r="I15" s="7">
        <f>$B15 * IFERROR(VLOOKUP("LULUCF|NOx|Work loss days", US_national_yearly!$D:$AM, 17, FALSE) / VLOOKUP("LULUCF|NOx|Work loss days", US_national_yearly!$D:$AM, 10, FALSE), 1)</f>
        <v>3.014436271247552E-2</v>
      </c>
      <c r="J15" s="7">
        <f>$B15 * IFERROR(VLOOKUP("LULUCF|NOx|Work loss days", US_national_yearly!$D:$AM, 18, FALSE) / VLOOKUP("LULUCF|NOx|Work loss days", US_national_yearly!$D:$AM, 10, FALSE), 1)</f>
        <v>3.029974632495816E-2</v>
      </c>
      <c r="K15" s="7">
        <f>$B15 * IFERROR(VLOOKUP("LULUCF|NOx|Work loss days", US_national_yearly!$D:$AM, 19, FALSE) / VLOOKUP("LULUCF|NOx|Work loss days", US_national_yearly!$D:$AM, 10, FALSE), 1)</f>
        <v>3.0455129937440796E-2</v>
      </c>
      <c r="L15" s="7">
        <f>$B15 * IFERROR(VLOOKUP("LULUCF|NOx|Work loss days", US_national_yearly!$D:$AM, 20, FALSE) / VLOOKUP("LULUCF|NOx|Work loss days", US_national_yearly!$D:$AM, 10, FALSE), 1)</f>
        <v>3.0610513549923429E-2</v>
      </c>
      <c r="M15" s="7">
        <f>$B15 * IFERROR(VLOOKUP("LULUCF|NOx|Work loss days", US_national_yearly!$D:$AM, 21, FALSE) / VLOOKUP("LULUCF|NOx|Work loss days", US_national_yearly!$D:$AM, 10, FALSE), 1)</f>
        <v>3.0765897162406068E-2</v>
      </c>
      <c r="N15" s="7">
        <f>$B15 * IFERROR(VLOOKUP("LULUCF|NOx|Work loss days", US_national_yearly!$D:$AM, 22, FALSE) / VLOOKUP("LULUCF|NOx|Work loss days", US_national_yearly!$D:$AM, 10, FALSE), 1)</f>
        <v>3.0968119399289049E-2</v>
      </c>
      <c r="O15" s="7">
        <f>$B15 * IFERROR(VLOOKUP("LULUCF|NOx|Work loss days", US_national_yearly!$D:$AM, 23, FALSE) / VLOOKUP("LULUCF|NOx|Work loss days", US_national_yearly!$D:$AM, 10, FALSE), 1)</f>
        <v>3.1170341636172029E-2</v>
      </c>
      <c r="P15" s="7">
        <f>$B15 * IFERROR(VLOOKUP("LULUCF|NOx|Work loss days", US_national_yearly!$D:$AM, 24, FALSE) / VLOOKUP("LULUCF|NOx|Work loss days", US_national_yearly!$D:$AM, 10, FALSE), 1)</f>
        <v>3.1372563873055009E-2</v>
      </c>
      <c r="Q15" s="7">
        <f>$B15 * IFERROR(VLOOKUP("LULUCF|NOx|Work loss days", US_national_yearly!$D:$AM, 25, FALSE) / VLOOKUP("LULUCF|NOx|Work loss days", US_national_yearly!$D:$AM, 10, FALSE), 1)</f>
        <v>3.1574786109937983E-2</v>
      </c>
      <c r="R15" s="7">
        <f>$B15 * IFERROR(VLOOKUP("LULUCF|NOx|Work loss days", US_national_yearly!$D:$AM, 26, FALSE) / VLOOKUP("LULUCF|NOx|Work loss days", US_national_yearly!$D:$AM, 10, FALSE), 1)</f>
        <v>3.177700834682097E-2</v>
      </c>
      <c r="S15" s="7">
        <f>$B15 * IFERROR(VLOOKUP("LULUCF|NOx|Work loss days", US_national_yearly!$D:$AM, 27, FALSE) / VLOOKUP("LULUCF|NOx|Work loss days", US_national_yearly!$D:$AM, 10, FALSE), 1)</f>
        <v>3.2002460284404892E-2</v>
      </c>
      <c r="T15" s="7">
        <f>$B15 * IFERROR(VLOOKUP("LULUCF|NOx|Work loss days", US_national_yearly!$D:$AM, 28, FALSE) / VLOOKUP("LULUCF|NOx|Work loss days", US_national_yearly!$D:$AM, 10, FALSE), 1)</f>
        <v>3.2227912221988814E-2</v>
      </c>
      <c r="U15" s="7">
        <f>$B15 * IFERROR(VLOOKUP("LULUCF|NOx|Work loss days", US_national_yearly!$D:$AM, 29, FALSE) / VLOOKUP("LULUCF|NOx|Work loss days", US_national_yearly!$D:$AM, 10, FALSE), 1)</f>
        <v>3.2453364159572728E-2</v>
      </c>
      <c r="V15" s="7">
        <f>$B15 * IFERROR(VLOOKUP("LULUCF|NOx|Work loss days", US_national_yearly!$D:$AM, 30, FALSE) / VLOOKUP("LULUCF|NOx|Work loss days", US_national_yearly!$D:$AM, 10, FALSE), 1)</f>
        <v>3.2678816097156657E-2</v>
      </c>
      <c r="W15" s="7">
        <f>$B15 * IFERROR(VLOOKUP("LULUCF|NOx|Work loss days", US_national_yearly!$D:$AM, 31, FALSE) / VLOOKUP("LULUCF|NOx|Work loss days", US_national_yearly!$D:$AM, 10, FALSE), 1)</f>
        <v>3.2904268034740579E-2</v>
      </c>
      <c r="X15" s="7">
        <f>$B15 * IFERROR(VLOOKUP("LULUCF|NOx|Work loss days", US_national_yearly!$D:$AM, 32, FALSE) / VLOOKUP("LULUCF|NOx|Work loss days", US_national_yearly!$D:$AM, 10, FALSE), 1)</f>
        <v>3.309994829620095E-2</v>
      </c>
      <c r="Y15" s="7">
        <f>$B15 * IFERROR(VLOOKUP("LULUCF|NOx|Work loss days", US_national_yearly!$D:$AM, 33, FALSE) / VLOOKUP("LULUCF|NOx|Work loss days", US_national_yearly!$D:$AM, 10, FALSE), 1)</f>
        <v>3.3295628557661328E-2</v>
      </c>
      <c r="Z15" s="7">
        <f>$B15 * IFERROR(VLOOKUP("LULUCF|NOx|Work loss days", US_national_yearly!$D:$AM, 34, FALSE) / VLOOKUP("LULUCF|NOx|Work loss days", US_national_yearly!$D:$AM, 10, FALSE), 1)</f>
        <v>3.3491308819121705E-2</v>
      </c>
      <c r="AA15" s="7">
        <f>$B15 * IFERROR(VLOOKUP("LULUCF|NOx|Work loss days", US_national_yearly!$D:$AM, 35, FALSE) / VLOOKUP("LULUCF|NOx|Work loss days", US_national_yearly!$D:$AM, 10, FALSE), 1)</f>
        <v>3.3686989080582083E-2</v>
      </c>
      <c r="AB15" s="7">
        <f>$B15 * IFERROR(VLOOKUP("LULUCF|NOx|Work loss days", US_national_yearly!$D:$AM, 36, FALSE) / VLOOKUP("LULUCF|NOx|Work loss days", US_national_yearly!$D:$AM, 10, FALSE), 1)</f>
        <v>3.3882669342042454E-2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4.6169327565694626E-5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4.7525996252811445E-5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4.8882664939928257E-5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5.0239333627045069E-5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5.1596002314161895E-5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5.2884613208383428E-5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5.4173224102604981E-5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5.5256846453925859E-5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5.6340468805246745E-5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5.7424091156567623E-5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5.8507713507888502E-5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5.9591335859209394E-5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6.0268960821084864E-5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6.0946585782960342E-5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6.1624210744835813E-5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6.2301835706711297E-5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6.2979460668586768E-5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6.3288642330783351E-5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6.3597823992979949E-5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6.3907005655176532E-5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6.4216187317373116E-5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6.4525368979569713E-5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6.4697439293791265E-5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6.4869509608012817E-5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6.5041579922234355E-5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6.5213650236455907E-5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6.5385720550677459E-5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4.1516043125801858E-4</v>
      </c>
      <c r="C2" s="7">
        <f>$B2 * IFERROR(VLOOKUP("LULUCF|SO2|Premature mortality", US_national_yearly!$D:$AM, 11, FALSE) / VLOOKUP("LULUCF|SO2|Premature mortality", US_national_yearly!$D:$AM, 10, FALSE), 1)</f>
        <v>4.2041821349135891E-4</v>
      </c>
      <c r="D2" s="7">
        <f>$B2 * IFERROR(VLOOKUP("LULUCF|SO2|Premature mortality", US_national_yearly!$D:$AM, 12, FALSE) / VLOOKUP("LULUCF|SO2|Premature mortality", US_national_yearly!$D:$AM, 10, FALSE), 1)</f>
        <v>4.2567599572469934E-4</v>
      </c>
      <c r="E2" s="7">
        <f>$B2 * IFERROR(VLOOKUP("LULUCF|SO2|Premature mortality", US_national_yearly!$D:$AM, 13, FALSE) / VLOOKUP("LULUCF|SO2|Premature mortality", US_national_yearly!$D:$AM, 10, FALSE), 1)</f>
        <v>4.3093377795803972E-4</v>
      </c>
      <c r="F2" s="7">
        <f>$B2 * IFERROR(VLOOKUP("LULUCF|SO2|Premature mortality", US_national_yearly!$D:$AM, 14, FALSE) / VLOOKUP("LULUCF|SO2|Premature mortality", US_national_yearly!$D:$AM, 10, FALSE), 1)</f>
        <v>4.3619156019138004E-4</v>
      </c>
      <c r="G2" s="7">
        <f>$B2 * IFERROR(VLOOKUP("LULUCF|SO2|Premature mortality", US_national_yearly!$D:$AM, 15, FALSE) / VLOOKUP("LULUCF|SO2|Premature mortality", US_national_yearly!$D:$AM, 10, FALSE), 1)</f>
        <v>4.4632300857625607E-4</v>
      </c>
      <c r="H2" s="7">
        <f>$B2 * IFERROR(VLOOKUP("LULUCF|SO2|Premature mortality", US_national_yearly!$D:$AM, 16, FALSE) / VLOOKUP("LULUCF|SO2|Premature mortality", US_national_yearly!$D:$AM, 10, FALSE), 1)</f>
        <v>4.5645445696113204E-4</v>
      </c>
      <c r="I2" s="7">
        <f>$B2 * IFERROR(VLOOKUP("LULUCF|SO2|Premature mortality", US_national_yearly!$D:$AM, 17, FALSE) / VLOOKUP("LULUCF|SO2|Premature mortality", US_national_yearly!$D:$AM, 10, FALSE), 1)</f>
        <v>4.6314993884842326E-4</v>
      </c>
      <c r="J2" s="7">
        <f>$B2 * IFERROR(VLOOKUP("LULUCF|SO2|Premature mortality", US_national_yearly!$D:$AM, 18, FALSE) / VLOOKUP("LULUCF|SO2|Premature mortality", US_national_yearly!$D:$AM, 10, FALSE), 1)</f>
        <v>4.6984542073571448E-4</v>
      </c>
      <c r="K2" s="7">
        <f>$B2 * IFERROR(VLOOKUP("LULUCF|SO2|Premature mortality", US_national_yearly!$D:$AM, 19, FALSE) / VLOOKUP("LULUCF|SO2|Premature mortality", US_national_yearly!$D:$AM, 10, FALSE), 1)</f>
        <v>4.7654090262300565E-4</v>
      </c>
      <c r="L2" s="7">
        <f>$B2 * IFERROR(VLOOKUP("LULUCF|SO2|Premature mortality", US_national_yearly!$D:$AM, 20, FALSE) / VLOOKUP("LULUCF|SO2|Premature mortality", US_national_yearly!$D:$AM, 10, FALSE), 1)</f>
        <v>4.8323638451029687E-4</v>
      </c>
      <c r="M2" s="7">
        <f>$B2 * IFERROR(VLOOKUP("LULUCF|SO2|Premature mortality", US_national_yearly!$D:$AM, 21, FALSE) / VLOOKUP("LULUCF|SO2|Premature mortality", US_national_yearly!$D:$AM, 10, FALSE), 1)</f>
        <v>4.8993186639758809E-4</v>
      </c>
      <c r="N2" s="7">
        <f>$B2 * IFERROR(VLOOKUP("LULUCF|SO2|Premature mortality", US_national_yearly!$D:$AM, 22, FALSE) / VLOOKUP("LULUCF|SO2|Premature mortality", US_national_yearly!$D:$AM, 10, FALSE), 1)</f>
        <v>4.9516335276312314E-4</v>
      </c>
      <c r="O2" s="7">
        <f>$B2 * IFERROR(VLOOKUP("LULUCF|SO2|Premature mortality", US_national_yearly!$D:$AM, 23, FALSE) / VLOOKUP("LULUCF|SO2|Premature mortality", US_national_yearly!$D:$AM, 10, FALSE), 1)</f>
        <v>5.0039483912865819E-4</v>
      </c>
      <c r="P2" s="7">
        <f>$B2 * IFERROR(VLOOKUP("LULUCF|SO2|Premature mortality", US_national_yearly!$D:$AM, 24, FALSE) / VLOOKUP("LULUCF|SO2|Premature mortality", US_national_yearly!$D:$AM, 10, FALSE), 1)</f>
        <v>5.0562632549419324E-4</v>
      </c>
      <c r="Q2" s="7">
        <f>$B2 * IFERROR(VLOOKUP("LULUCF|SO2|Premature mortality", US_national_yearly!$D:$AM, 25, FALSE) / VLOOKUP("LULUCF|SO2|Premature mortality", US_national_yearly!$D:$AM, 10, FALSE), 1)</f>
        <v>5.108578118597284E-4</v>
      </c>
      <c r="R2" s="7">
        <f>$B2 * IFERROR(VLOOKUP("LULUCF|SO2|Premature mortality", US_national_yearly!$D:$AM, 26, FALSE) / VLOOKUP("LULUCF|SO2|Premature mortality", US_national_yearly!$D:$AM, 10, FALSE), 1)</f>
        <v>5.1608929822526334E-4</v>
      </c>
      <c r="S2" s="7">
        <f>$B2 * IFERROR(VLOOKUP("LULUCF|SO2|Premature mortality", US_national_yearly!$D:$AM, 27, FALSE) / VLOOKUP("LULUCF|SO2|Premature mortality", US_national_yearly!$D:$AM, 10, FALSE), 1)</f>
        <v>5.1889082883229071E-4</v>
      </c>
      <c r="T2" s="7">
        <f>$B2 * IFERROR(VLOOKUP("LULUCF|SO2|Premature mortality", US_national_yearly!$D:$AM, 28, FALSE) / VLOOKUP("LULUCF|SO2|Premature mortality", US_national_yearly!$D:$AM, 10, FALSE), 1)</f>
        <v>5.2169235943931797E-4</v>
      </c>
      <c r="U2" s="7">
        <f>$B2 * IFERROR(VLOOKUP("LULUCF|SO2|Premature mortality", US_national_yearly!$D:$AM, 29, FALSE) / VLOOKUP("LULUCF|SO2|Premature mortality", US_national_yearly!$D:$AM, 10, FALSE), 1)</f>
        <v>5.2449389004634523E-4</v>
      </c>
      <c r="V2" s="7">
        <f>$B2 * IFERROR(VLOOKUP("LULUCF|SO2|Premature mortality", US_national_yearly!$D:$AM, 30, FALSE) / VLOOKUP("LULUCF|SO2|Premature mortality", US_national_yearly!$D:$AM, 10, FALSE), 1)</f>
        <v>5.2729542065337249E-4</v>
      </c>
      <c r="W2" s="7">
        <f>$B2 * IFERROR(VLOOKUP("LULUCF|SO2|Premature mortality", US_national_yearly!$D:$AM, 31, FALSE) / VLOOKUP("LULUCF|SO2|Premature mortality", US_national_yearly!$D:$AM, 10, FALSE), 1)</f>
        <v>5.3009695126039985E-4</v>
      </c>
      <c r="X2" s="7">
        <f>$B2 * IFERROR(VLOOKUP("LULUCF|SO2|Premature mortality", US_national_yearly!$D:$AM, 32, FALSE) / VLOOKUP("LULUCF|SO2|Premature mortality", US_national_yearly!$D:$AM, 10, FALSE), 1)</f>
        <v>5.3066609077245515E-4</v>
      </c>
      <c r="Y2" s="7">
        <f>$B2 * IFERROR(VLOOKUP("LULUCF|SO2|Premature mortality", US_national_yearly!$D:$AM, 33, FALSE) / VLOOKUP("LULUCF|SO2|Premature mortality", US_national_yearly!$D:$AM, 10, FALSE), 1)</f>
        <v>5.3123523028451055E-4</v>
      </c>
      <c r="Z2" s="7">
        <f>$B2 * IFERROR(VLOOKUP("LULUCF|SO2|Premature mortality", US_national_yearly!$D:$AM, 34, FALSE) / VLOOKUP("LULUCF|SO2|Premature mortality", US_national_yearly!$D:$AM, 10, FALSE), 1)</f>
        <v>5.3180436979656585E-4</v>
      </c>
      <c r="AA2" s="7">
        <f>$B2 * IFERROR(VLOOKUP("LULUCF|SO2|Premature mortality", US_national_yearly!$D:$AM, 35, FALSE) / VLOOKUP("LULUCF|SO2|Premature mortality", US_national_yearly!$D:$AM, 10, FALSE), 1)</f>
        <v>5.3237350930862126E-4</v>
      </c>
      <c r="AB2" s="7">
        <f>$B2 * IFERROR(VLOOKUP("LULUCF|SO2|Premature mortality", US_national_yearly!$D:$AM, 36, FALSE) / VLOOKUP("LULUCF|SO2|Premature mortality", US_national_yearly!$D:$AM, 10, FALSE), 1)</f>
        <v>5.3294264882067645E-4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1.5688178501891235E-6</v>
      </c>
      <c r="C3" s="7">
        <f>$B3 * IFERROR(VLOOKUP("LULUCF|SO2|Infant mortality", US_national_yearly!$D:$AM, 11, FALSE) / VLOOKUP("LULUCF|SO2|Infant mortality", US_national_yearly!$D:$AM, 10, FALSE), 1)</f>
        <v>1.5553414186948832E-6</v>
      </c>
      <c r="D3" s="7">
        <f>$B3 * IFERROR(VLOOKUP("LULUCF|SO2|Infant mortality", US_national_yearly!$D:$AM, 12, FALSE) / VLOOKUP("LULUCF|SO2|Infant mortality", US_national_yearly!$D:$AM, 10, FALSE), 1)</f>
        <v>1.541864987200643E-6</v>
      </c>
      <c r="E3" s="7">
        <f>$B3 * IFERROR(VLOOKUP("LULUCF|SO2|Infant mortality", US_national_yearly!$D:$AM, 13, FALSE) / VLOOKUP("LULUCF|SO2|Infant mortality", US_national_yearly!$D:$AM, 10, FALSE), 1)</f>
        <v>1.5283885557064025E-6</v>
      </c>
      <c r="F3" s="7">
        <f>$B3 * IFERROR(VLOOKUP("LULUCF|SO2|Infant mortality", US_national_yearly!$D:$AM, 14, FALSE) / VLOOKUP("LULUCF|SO2|Infant mortality", US_national_yearly!$D:$AM, 10, FALSE), 1)</f>
        <v>1.5149121242121625E-6</v>
      </c>
      <c r="G3" s="7">
        <f>$B3 * IFERROR(VLOOKUP("LULUCF|SO2|Infant mortality", US_national_yearly!$D:$AM, 15, FALSE) / VLOOKUP("LULUCF|SO2|Infant mortality", US_national_yearly!$D:$AM, 10, FALSE), 1)</f>
        <v>1.0090534881423922E-6</v>
      </c>
      <c r="H3" s="7">
        <f>$B3 * IFERROR(VLOOKUP("LULUCF|SO2|Infant mortality", US_national_yearly!$D:$AM, 16, FALSE) / VLOOKUP("LULUCF|SO2|Infant mortality", US_national_yearly!$D:$AM, 10, FALSE), 1)</f>
        <v>5.0319485207262256E-7</v>
      </c>
      <c r="I3" s="7">
        <f>$B3 * IFERROR(VLOOKUP("LULUCF|SO2|Infant mortality", US_national_yearly!$D:$AM, 17, FALSE) / VLOOKUP("LULUCF|SO2|Infant mortality", US_national_yearly!$D:$AM, 10, FALSE), 1)</f>
        <v>5.0003815881377188E-7</v>
      </c>
      <c r="J3" s="7">
        <f>$B3 * IFERROR(VLOOKUP("LULUCF|SO2|Infant mortality", US_national_yearly!$D:$AM, 18, FALSE) / VLOOKUP("LULUCF|SO2|Infant mortality", US_national_yearly!$D:$AM, 10, FALSE), 1)</f>
        <v>4.968814655549212E-7</v>
      </c>
      <c r="K3" s="7">
        <f>$B3 * IFERROR(VLOOKUP("LULUCF|SO2|Infant mortality", US_national_yearly!$D:$AM, 19, FALSE) / VLOOKUP("LULUCF|SO2|Infant mortality", US_national_yearly!$D:$AM, 10, FALSE), 1)</f>
        <v>4.9372477229607052E-7</v>
      </c>
      <c r="L3" s="7">
        <f>$B3 * IFERROR(VLOOKUP("LULUCF|SO2|Infant mortality", US_national_yearly!$D:$AM, 20, FALSE) / VLOOKUP("LULUCF|SO2|Infant mortality", US_national_yearly!$D:$AM, 10, FALSE), 1)</f>
        <v>4.9056807903721984E-7</v>
      </c>
      <c r="M3" s="7">
        <f>$B3 * IFERROR(VLOOKUP("LULUCF|SO2|Infant mortality", US_national_yearly!$D:$AM, 21, FALSE) / VLOOKUP("LULUCF|SO2|Infant mortality", US_national_yearly!$D:$AM, 10, FALSE), 1)</f>
        <v>4.8741138577836916E-7</v>
      </c>
      <c r="N3" s="7">
        <f>$B3 * IFERROR(VLOOKUP("LULUCF|SO2|Infant mortality", US_national_yearly!$D:$AM, 22, FALSE) / VLOOKUP("LULUCF|SO2|Infant mortality", US_national_yearly!$D:$AM, 10, FALSE), 1)</f>
        <v>4.8542995305288478E-7</v>
      </c>
      <c r="O3" s="7">
        <f>$B3 * IFERROR(VLOOKUP("LULUCF|SO2|Infant mortality", US_national_yearly!$D:$AM, 23, FALSE) / VLOOKUP("LULUCF|SO2|Infant mortality", US_national_yearly!$D:$AM, 10, FALSE), 1)</f>
        <v>4.834485203274004E-7</v>
      </c>
      <c r="P3" s="7">
        <f>$B3 * IFERROR(VLOOKUP("LULUCF|SO2|Infant mortality", US_national_yearly!$D:$AM, 24, FALSE) / VLOOKUP("LULUCF|SO2|Infant mortality", US_national_yearly!$D:$AM, 10, FALSE), 1)</f>
        <v>4.8146708760191591E-7</v>
      </c>
      <c r="Q3" s="7">
        <f>$B3 * IFERROR(VLOOKUP("LULUCF|SO2|Infant mortality", US_national_yearly!$D:$AM, 25, FALSE) / VLOOKUP("LULUCF|SO2|Infant mortality", US_national_yearly!$D:$AM, 10, FALSE), 1)</f>
        <v>4.7948565487643153E-7</v>
      </c>
      <c r="R3" s="7">
        <f>$B3 * IFERROR(VLOOKUP("LULUCF|SO2|Infant mortality", US_national_yearly!$D:$AM, 26, FALSE) / VLOOKUP("LULUCF|SO2|Infant mortality", US_national_yearly!$D:$AM, 10, FALSE), 1)</f>
        <v>4.7750422215094704E-7</v>
      </c>
      <c r="S3" s="7">
        <f>$B3 * IFERROR(VLOOKUP("LULUCF|SO2|Infant mortality", US_national_yearly!$D:$AM, 27, FALSE) / VLOOKUP("LULUCF|SO2|Infant mortality", US_national_yearly!$D:$AM, 10, FALSE), 1)</f>
        <v>4.750164126526358E-7</v>
      </c>
      <c r="T3" s="7">
        <f>$B3 * IFERROR(VLOOKUP("LULUCF|SO2|Infant mortality", US_national_yearly!$D:$AM, 28, FALSE) / VLOOKUP("LULUCF|SO2|Infant mortality", US_national_yearly!$D:$AM, 10, FALSE), 1)</f>
        <v>4.7252860315432456E-7</v>
      </c>
      <c r="U3" s="7">
        <f>$B3 * IFERROR(VLOOKUP("LULUCF|SO2|Infant mortality", US_national_yearly!$D:$AM, 29, FALSE) / VLOOKUP("LULUCF|SO2|Infant mortality", US_national_yearly!$D:$AM, 10, FALSE), 1)</f>
        <v>4.7004079365601316E-7</v>
      </c>
      <c r="V3" s="7">
        <f>$B3 * IFERROR(VLOOKUP("LULUCF|SO2|Infant mortality", US_national_yearly!$D:$AM, 30, FALSE) / VLOOKUP("LULUCF|SO2|Infant mortality", US_national_yearly!$D:$AM, 10, FALSE), 1)</f>
        <v>4.6755298415770202E-7</v>
      </c>
      <c r="W3" s="7">
        <f>$B3 * IFERROR(VLOOKUP("LULUCF|SO2|Infant mortality", US_national_yearly!$D:$AM, 31, FALSE) / VLOOKUP("LULUCF|SO2|Infant mortality", US_national_yearly!$D:$AM, 10, FALSE), 1)</f>
        <v>4.6506517465939068E-7</v>
      </c>
      <c r="X3" s="7">
        <f>$B3 * IFERROR(VLOOKUP("LULUCF|SO2|Infant mortality", US_national_yearly!$D:$AM, 32, FALSE) / VLOOKUP("LULUCF|SO2|Infant mortality", US_national_yearly!$D:$AM, 10, FALSE), 1)</f>
        <v>4.6234523096042442E-7</v>
      </c>
      <c r="Y3" s="7">
        <f>$B3 * IFERROR(VLOOKUP("LULUCF|SO2|Infant mortality", US_national_yearly!$D:$AM, 33, FALSE) / VLOOKUP("LULUCF|SO2|Infant mortality", US_national_yearly!$D:$AM, 10, FALSE), 1)</f>
        <v>4.59625287261458E-7</v>
      </c>
      <c r="Z3" s="7">
        <f>$B3 * IFERROR(VLOOKUP("LULUCF|SO2|Infant mortality", US_national_yearly!$D:$AM, 34, FALSE) / VLOOKUP("LULUCF|SO2|Infant mortality", US_national_yearly!$D:$AM, 10, FALSE), 1)</f>
        <v>4.5690534356249174E-7</v>
      </c>
      <c r="AA3" s="7">
        <f>$B3 * IFERROR(VLOOKUP("LULUCF|SO2|Infant mortality", US_national_yearly!$D:$AM, 35, FALSE) / VLOOKUP("LULUCF|SO2|Infant mortality", US_national_yearly!$D:$AM, 10, FALSE), 1)</f>
        <v>4.5418539986352532E-7</v>
      </c>
      <c r="AB3" s="7">
        <f>$B3 * IFERROR(VLOOKUP("LULUCF|SO2|Infant mortality", US_national_yearly!$D:$AM, 36, FALSE) / VLOOKUP("LULUCF|SO2|Infant mortality", US_national_yearly!$D:$AM, 10, FALSE), 1)</f>
        <v>4.5146545616455906E-7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1.5301802820946826E-3</v>
      </c>
      <c r="C6" s="7">
        <f>$B6 * IFERROR(VLOOKUP("LULUCF|SO2|Asthma symptoms cough", US_national_yearly!$D:$AM, 11, FALSE) / VLOOKUP("LULUCF|SO2|Asthma symptoms cough", US_national_yearly!$D:$AM, 10, FALSE), 1)</f>
        <v>1.5301802820946826E-3</v>
      </c>
      <c r="D6" s="7">
        <f>$B6 * IFERROR(VLOOKUP("LULUCF|SO2|Asthma symptoms cough", US_national_yearly!$D:$AM, 12, FALSE) / VLOOKUP("LULUCF|SO2|Asthma symptoms cough", US_national_yearly!$D:$AM, 10, FALSE), 1)</f>
        <v>1.5301802820946826E-3</v>
      </c>
      <c r="E6" s="7">
        <f>$B6 * IFERROR(VLOOKUP("LULUCF|SO2|Asthma symptoms cough", US_national_yearly!$D:$AM, 13, FALSE) / VLOOKUP("LULUCF|SO2|Asthma symptoms cough", US_national_yearly!$D:$AM, 10, FALSE), 1)</f>
        <v>1.5301802820946826E-3</v>
      </c>
      <c r="F6" s="7">
        <f>$B6 * IFERROR(VLOOKUP("LULUCF|SO2|Asthma symptoms cough", US_national_yearly!$D:$AM, 14, FALSE) / VLOOKUP("LULUCF|SO2|Asthma symptoms cough", US_national_yearly!$D:$AM, 10, FALSE), 1)</f>
        <v>1.5301802820946826E-3</v>
      </c>
      <c r="G6" s="7">
        <f>$B6 * IFERROR(VLOOKUP("LULUCF|SO2|Asthma symptoms cough", US_national_yearly!$D:$AM, 15, FALSE) / VLOOKUP("LULUCF|SO2|Asthma symptoms cough", US_national_yearly!$D:$AM, 10, FALSE), 1)</f>
        <v>1.5301802820946826E-3</v>
      </c>
      <c r="H6" s="7">
        <f>$B6 * IFERROR(VLOOKUP("LULUCF|SO2|Asthma symptoms cough", US_national_yearly!$D:$AM, 16, FALSE) / VLOOKUP("LULUCF|SO2|Asthma symptoms cough", US_national_yearly!$D:$AM, 10, FALSE), 1)</f>
        <v>1.5301802820946826E-3</v>
      </c>
      <c r="I6" s="7">
        <f>$B6 * IFERROR(VLOOKUP("LULUCF|SO2|Asthma symptoms cough", US_national_yearly!$D:$AM, 17, FALSE) / VLOOKUP("LULUCF|SO2|Asthma symptoms cough", US_national_yearly!$D:$AM, 10, FALSE), 1)</f>
        <v>1.5301802820946826E-3</v>
      </c>
      <c r="J6" s="7">
        <f>$B6 * IFERROR(VLOOKUP("LULUCF|SO2|Asthma symptoms cough", US_national_yearly!$D:$AM, 18, FALSE) / VLOOKUP("LULUCF|SO2|Asthma symptoms cough", US_national_yearly!$D:$AM, 10, FALSE), 1)</f>
        <v>1.5301802820946826E-3</v>
      </c>
      <c r="K6" s="7">
        <f>$B6 * IFERROR(VLOOKUP("LULUCF|SO2|Asthma symptoms cough", US_national_yearly!$D:$AM, 19, FALSE) / VLOOKUP("LULUCF|SO2|Asthma symptoms cough", US_national_yearly!$D:$AM, 10, FALSE), 1)</f>
        <v>1.5301802820946826E-3</v>
      </c>
      <c r="L6" s="7">
        <f>$B6 * IFERROR(VLOOKUP("LULUCF|SO2|Asthma symptoms cough", US_national_yearly!$D:$AM, 20, FALSE) / VLOOKUP("LULUCF|SO2|Asthma symptoms cough", US_national_yearly!$D:$AM, 10, FALSE), 1)</f>
        <v>1.5301802820946826E-3</v>
      </c>
      <c r="M6" s="7">
        <f>$B6 * IFERROR(VLOOKUP("LULUCF|SO2|Asthma symptoms cough", US_national_yearly!$D:$AM, 21, FALSE) / VLOOKUP("LULUCF|SO2|Asthma symptoms cough", US_national_yearly!$D:$AM, 10, FALSE), 1)</f>
        <v>1.5301802820946826E-3</v>
      </c>
      <c r="N6" s="7">
        <f>$B6 * IFERROR(VLOOKUP("LULUCF|SO2|Asthma symptoms cough", US_national_yearly!$D:$AM, 22, FALSE) / VLOOKUP("LULUCF|SO2|Asthma symptoms cough", US_national_yearly!$D:$AM, 10, FALSE), 1)</f>
        <v>1.5301802820946826E-3</v>
      </c>
      <c r="O6" s="7">
        <f>$B6 * IFERROR(VLOOKUP("LULUCF|SO2|Asthma symptoms cough", US_national_yearly!$D:$AM, 23, FALSE) / VLOOKUP("LULUCF|SO2|Asthma symptoms cough", US_national_yearly!$D:$AM, 10, FALSE), 1)</f>
        <v>1.5301802820946826E-3</v>
      </c>
      <c r="P6" s="7">
        <f>$B6 * IFERROR(VLOOKUP("LULUCF|SO2|Asthma symptoms cough", US_national_yearly!$D:$AM, 24, FALSE) / VLOOKUP("LULUCF|SO2|Asthma symptoms cough", US_national_yearly!$D:$AM, 10, FALSE), 1)</f>
        <v>1.5301802820946826E-3</v>
      </c>
      <c r="Q6" s="7">
        <f>$B6 * IFERROR(VLOOKUP("LULUCF|SO2|Asthma symptoms cough", US_national_yearly!$D:$AM, 25, FALSE) / VLOOKUP("LULUCF|SO2|Asthma symptoms cough", US_national_yearly!$D:$AM, 10, FALSE), 1)</f>
        <v>1.5301802820946826E-3</v>
      </c>
      <c r="R6" s="7">
        <f>$B6 * IFERROR(VLOOKUP("LULUCF|SO2|Asthma symptoms cough", US_national_yearly!$D:$AM, 26, FALSE) / VLOOKUP("LULUCF|SO2|Asthma symptoms cough", US_national_yearly!$D:$AM, 10, FALSE), 1)</f>
        <v>1.5301802820946826E-3</v>
      </c>
      <c r="S6" s="7">
        <f>$B6 * IFERROR(VLOOKUP("LULUCF|SO2|Asthma symptoms cough", US_national_yearly!$D:$AM, 27, FALSE) / VLOOKUP("LULUCF|SO2|Asthma symptoms cough", US_national_yearly!$D:$AM, 10, FALSE), 1)</f>
        <v>1.5301802820946826E-3</v>
      </c>
      <c r="T6" s="7">
        <f>$B6 * IFERROR(VLOOKUP("LULUCF|SO2|Asthma symptoms cough", US_national_yearly!$D:$AM, 28, FALSE) / VLOOKUP("LULUCF|SO2|Asthma symptoms cough", US_national_yearly!$D:$AM, 10, FALSE), 1)</f>
        <v>1.5301802820946826E-3</v>
      </c>
      <c r="U6" s="7">
        <f>$B6 * IFERROR(VLOOKUP("LULUCF|SO2|Asthma symptoms cough", US_national_yearly!$D:$AM, 29, FALSE) / VLOOKUP("LULUCF|SO2|Asthma symptoms cough", US_national_yearly!$D:$AM, 10, FALSE), 1)</f>
        <v>1.5301802820946826E-3</v>
      </c>
      <c r="V6" s="7">
        <f>$B6 * IFERROR(VLOOKUP("LULUCF|SO2|Asthma symptoms cough", US_national_yearly!$D:$AM, 30, FALSE) / VLOOKUP("LULUCF|SO2|Asthma symptoms cough", US_national_yearly!$D:$AM, 10, FALSE), 1)</f>
        <v>1.5301802820946826E-3</v>
      </c>
      <c r="W6" s="7">
        <f>$B6 * IFERROR(VLOOKUP("LULUCF|SO2|Asthma symptoms cough", US_national_yearly!$D:$AM, 31, FALSE) / VLOOKUP("LULUCF|SO2|Asthma symptoms cough", US_national_yearly!$D:$AM, 10, FALSE), 1)</f>
        <v>1.5301802820946826E-3</v>
      </c>
      <c r="X6" s="7">
        <f>$B6 * IFERROR(VLOOKUP("LULUCF|SO2|Asthma symptoms cough", US_national_yearly!$D:$AM, 32, FALSE) / VLOOKUP("LULUCF|SO2|Asthma symptoms cough", US_national_yearly!$D:$AM, 10, FALSE), 1)</f>
        <v>1.5301802820946826E-3</v>
      </c>
      <c r="Y6" s="7">
        <f>$B6 * IFERROR(VLOOKUP("LULUCF|SO2|Asthma symptoms cough", US_national_yearly!$D:$AM, 33, FALSE) / VLOOKUP("LULUCF|SO2|Asthma symptoms cough", US_national_yearly!$D:$AM, 10, FALSE), 1)</f>
        <v>1.5301802820946826E-3</v>
      </c>
      <c r="Z6" s="7">
        <f>$B6 * IFERROR(VLOOKUP("LULUCF|SO2|Asthma symptoms cough", US_national_yearly!$D:$AM, 34, FALSE) / VLOOKUP("LULUCF|SO2|Asthma symptoms cough", US_national_yearly!$D:$AM, 10, FALSE), 1)</f>
        <v>1.5301802820946826E-3</v>
      </c>
      <c r="AA6" s="7">
        <f>$B6 * IFERROR(VLOOKUP("LULUCF|SO2|Asthma symptoms cough", US_national_yearly!$D:$AM, 35, FALSE) / VLOOKUP("LULUCF|SO2|Asthma symptoms cough", US_national_yearly!$D:$AM, 10, FALSE), 1)</f>
        <v>1.5301802820946826E-3</v>
      </c>
      <c r="AB6" s="7">
        <f>$B6 * IFERROR(VLOOKUP("LULUCF|SO2|Asthma symptoms cough", US_national_yearly!$D:$AM, 36, FALSE) / VLOOKUP("LULUCF|SO2|Asthma symptoms cough", US_national_yearly!$D:$AM, 10, FALSE), 1)</f>
        <v>1.5301802820946826E-3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2.0605603965219705E-3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2.0605603965219705E-3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2.0605603965219705E-3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2.0605603965219705E-3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2.0605603965219705E-3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2.0605603965219705E-3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2.0605603965219705E-3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2.0605603965219705E-3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2.0605603965219705E-3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2.0605603965219705E-3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2.0605603965219705E-3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2.0605603965219705E-3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2.0605603965219705E-3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2.0605603965219705E-3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2.0605603965219705E-3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2.0605603965219705E-3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2.0605603965219705E-3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2.0605603965219705E-3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2.0605603965219705E-3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2.0605603965219705E-3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2.0605603965219705E-3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2.0605603965219705E-3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2.0605603965219705E-3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2.0605603965219705E-3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2.0605603965219705E-3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2.0605603965219705E-3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2.0605603965219705E-3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3.1483631701161598E-3</v>
      </c>
      <c r="C8" s="7">
        <f>$B8 * IFERROR(VLOOKUP("LULUCF|SO2|Asthma symptoms wheeze", US_national_yearly!$D:$AM, 11, FALSE) / VLOOKUP("LULUCF|SO2|Asthma symptoms wheeze", US_national_yearly!$D:$AM, 10, FALSE), 1)</f>
        <v>3.1483631701161598E-3</v>
      </c>
      <c r="D8" s="7">
        <f>$B8 * IFERROR(VLOOKUP("LULUCF|SO2|Asthma symptoms wheeze", US_national_yearly!$D:$AM, 12, FALSE) / VLOOKUP("LULUCF|SO2|Asthma symptoms wheeze", US_national_yearly!$D:$AM, 10, FALSE), 1)</f>
        <v>3.1483631701161598E-3</v>
      </c>
      <c r="E8" s="7">
        <f>$B8 * IFERROR(VLOOKUP("LULUCF|SO2|Asthma symptoms wheeze", US_national_yearly!$D:$AM, 13, FALSE) / VLOOKUP("LULUCF|SO2|Asthma symptoms wheeze", US_national_yearly!$D:$AM, 10, FALSE), 1)</f>
        <v>3.1483631701161598E-3</v>
      </c>
      <c r="F8" s="7">
        <f>$B8 * IFERROR(VLOOKUP("LULUCF|SO2|Asthma symptoms wheeze", US_national_yearly!$D:$AM, 14, FALSE) / VLOOKUP("LULUCF|SO2|Asthma symptoms wheeze", US_national_yearly!$D:$AM, 10, FALSE), 1)</f>
        <v>3.1483631701161598E-3</v>
      </c>
      <c r="G8" s="7">
        <f>$B8 * IFERROR(VLOOKUP("LULUCF|SO2|Asthma symptoms wheeze", US_national_yearly!$D:$AM, 15, FALSE) / VLOOKUP("LULUCF|SO2|Asthma symptoms wheeze", US_national_yearly!$D:$AM, 10, FALSE), 1)</f>
        <v>3.1483631701161598E-3</v>
      </c>
      <c r="H8" s="7">
        <f>$B8 * IFERROR(VLOOKUP("LULUCF|SO2|Asthma symptoms wheeze", US_national_yearly!$D:$AM, 16, FALSE) / VLOOKUP("LULUCF|SO2|Asthma symptoms wheeze", US_national_yearly!$D:$AM, 10, FALSE), 1)</f>
        <v>3.1483631701161598E-3</v>
      </c>
      <c r="I8" s="7">
        <f>$B8 * IFERROR(VLOOKUP("LULUCF|SO2|Asthma symptoms wheeze", US_national_yearly!$D:$AM, 17, FALSE) / VLOOKUP("LULUCF|SO2|Asthma symptoms wheeze", US_national_yearly!$D:$AM, 10, FALSE), 1)</f>
        <v>3.1483631701161598E-3</v>
      </c>
      <c r="J8" s="7">
        <f>$B8 * IFERROR(VLOOKUP("LULUCF|SO2|Asthma symptoms wheeze", US_national_yearly!$D:$AM, 18, FALSE) / VLOOKUP("LULUCF|SO2|Asthma symptoms wheeze", US_national_yearly!$D:$AM, 10, FALSE), 1)</f>
        <v>3.1483631701161598E-3</v>
      </c>
      <c r="K8" s="7">
        <f>$B8 * IFERROR(VLOOKUP("LULUCF|SO2|Asthma symptoms wheeze", US_national_yearly!$D:$AM, 19, FALSE) / VLOOKUP("LULUCF|SO2|Asthma symptoms wheeze", US_national_yearly!$D:$AM, 10, FALSE), 1)</f>
        <v>3.1483631701161598E-3</v>
      </c>
      <c r="L8" s="7">
        <f>$B8 * IFERROR(VLOOKUP("LULUCF|SO2|Asthma symptoms wheeze", US_national_yearly!$D:$AM, 20, FALSE) / VLOOKUP("LULUCF|SO2|Asthma symptoms wheeze", US_national_yearly!$D:$AM, 10, FALSE), 1)</f>
        <v>3.1483631701161598E-3</v>
      </c>
      <c r="M8" s="7">
        <f>$B8 * IFERROR(VLOOKUP("LULUCF|SO2|Asthma symptoms wheeze", US_national_yearly!$D:$AM, 21, FALSE) / VLOOKUP("LULUCF|SO2|Asthma symptoms wheeze", US_national_yearly!$D:$AM, 10, FALSE), 1)</f>
        <v>3.1483631701161598E-3</v>
      </c>
      <c r="N8" s="7">
        <f>$B8 * IFERROR(VLOOKUP("LULUCF|SO2|Asthma symptoms wheeze", US_national_yearly!$D:$AM, 22, FALSE) / VLOOKUP("LULUCF|SO2|Asthma symptoms wheeze", US_national_yearly!$D:$AM, 10, FALSE), 1)</f>
        <v>3.1483631701161598E-3</v>
      </c>
      <c r="O8" s="7">
        <f>$B8 * IFERROR(VLOOKUP("LULUCF|SO2|Asthma symptoms wheeze", US_national_yearly!$D:$AM, 23, FALSE) / VLOOKUP("LULUCF|SO2|Asthma symptoms wheeze", US_national_yearly!$D:$AM, 10, FALSE), 1)</f>
        <v>3.1483631701161598E-3</v>
      </c>
      <c r="P8" s="7">
        <f>$B8 * IFERROR(VLOOKUP("LULUCF|SO2|Asthma symptoms wheeze", US_national_yearly!$D:$AM, 24, FALSE) / VLOOKUP("LULUCF|SO2|Asthma symptoms wheeze", US_national_yearly!$D:$AM, 10, FALSE), 1)</f>
        <v>3.1483631701161598E-3</v>
      </c>
      <c r="Q8" s="7">
        <f>$B8 * IFERROR(VLOOKUP("LULUCF|SO2|Asthma symptoms wheeze", US_national_yearly!$D:$AM, 25, FALSE) / VLOOKUP("LULUCF|SO2|Asthma symptoms wheeze", US_national_yearly!$D:$AM, 10, FALSE), 1)</f>
        <v>3.1483631701161598E-3</v>
      </c>
      <c r="R8" s="7">
        <f>$B8 * IFERROR(VLOOKUP("LULUCF|SO2|Asthma symptoms wheeze", US_national_yearly!$D:$AM, 26, FALSE) / VLOOKUP("LULUCF|SO2|Asthma symptoms wheeze", US_national_yearly!$D:$AM, 10, FALSE), 1)</f>
        <v>3.1483631701161598E-3</v>
      </c>
      <c r="S8" s="7">
        <f>$B8 * IFERROR(VLOOKUP("LULUCF|SO2|Asthma symptoms wheeze", US_national_yearly!$D:$AM, 27, FALSE) / VLOOKUP("LULUCF|SO2|Asthma symptoms wheeze", US_national_yearly!$D:$AM, 10, FALSE), 1)</f>
        <v>3.1483631701161598E-3</v>
      </c>
      <c r="T8" s="7">
        <f>$B8 * IFERROR(VLOOKUP("LULUCF|SO2|Asthma symptoms wheeze", US_national_yearly!$D:$AM, 28, FALSE) / VLOOKUP("LULUCF|SO2|Asthma symptoms wheeze", US_national_yearly!$D:$AM, 10, FALSE), 1)</f>
        <v>3.1483631701161598E-3</v>
      </c>
      <c r="U8" s="7">
        <f>$B8 * IFERROR(VLOOKUP("LULUCF|SO2|Asthma symptoms wheeze", US_national_yearly!$D:$AM, 29, FALSE) / VLOOKUP("LULUCF|SO2|Asthma symptoms wheeze", US_national_yearly!$D:$AM, 10, FALSE), 1)</f>
        <v>3.1483631701161598E-3</v>
      </c>
      <c r="V8" s="7">
        <f>$B8 * IFERROR(VLOOKUP("LULUCF|SO2|Asthma symptoms wheeze", US_national_yearly!$D:$AM, 30, FALSE) / VLOOKUP("LULUCF|SO2|Asthma symptoms wheeze", US_national_yearly!$D:$AM, 10, FALSE), 1)</f>
        <v>3.1483631701161598E-3</v>
      </c>
      <c r="W8" s="7">
        <f>$B8 * IFERROR(VLOOKUP("LULUCF|SO2|Asthma symptoms wheeze", US_national_yearly!$D:$AM, 31, FALSE) / VLOOKUP("LULUCF|SO2|Asthma symptoms wheeze", US_national_yearly!$D:$AM, 10, FALSE), 1)</f>
        <v>3.1483631701161598E-3</v>
      </c>
      <c r="X8" s="7">
        <f>$B8 * IFERROR(VLOOKUP("LULUCF|SO2|Asthma symptoms wheeze", US_national_yearly!$D:$AM, 32, FALSE) / VLOOKUP("LULUCF|SO2|Asthma symptoms wheeze", US_national_yearly!$D:$AM, 10, FALSE), 1)</f>
        <v>3.1483631701161598E-3</v>
      </c>
      <c r="Y8" s="7">
        <f>$B8 * IFERROR(VLOOKUP("LULUCF|SO2|Asthma symptoms wheeze", US_national_yearly!$D:$AM, 33, FALSE) / VLOOKUP("LULUCF|SO2|Asthma symptoms wheeze", US_national_yearly!$D:$AM, 10, FALSE), 1)</f>
        <v>3.1483631701161598E-3</v>
      </c>
      <c r="Z8" s="7">
        <f>$B8 * IFERROR(VLOOKUP("LULUCF|SO2|Asthma symptoms wheeze", US_national_yearly!$D:$AM, 34, FALSE) / VLOOKUP("LULUCF|SO2|Asthma symptoms wheeze", US_national_yearly!$D:$AM, 10, FALSE), 1)</f>
        <v>3.1483631701161598E-3</v>
      </c>
      <c r="AA8" s="7">
        <f>$B8 * IFERROR(VLOOKUP("LULUCF|SO2|Asthma symptoms wheeze", US_national_yearly!$D:$AM, 35, FALSE) / VLOOKUP("LULUCF|SO2|Asthma symptoms wheeze", US_national_yearly!$D:$AM, 10, FALSE), 1)</f>
        <v>3.1483631701161598E-3</v>
      </c>
      <c r="AB8" s="7">
        <f>$B8 * IFERROR(VLOOKUP("LULUCF|SO2|Asthma symptoms wheeze", US_national_yearly!$D:$AM, 36, FALSE) / VLOOKUP("LULUCF|SO2|Asthma symptoms wheeze", US_national_yearly!$D:$AM, 10, FALSE), 1)</f>
        <v>3.1483631701161598E-3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3.0352559938572495E-5</v>
      </c>
      <c r="C12" s="7">
        <f>$B12 * IFERROR(VLOOKUP("LULUCF|SO2|Respiratory hospital admissions", US_national_yearly!$D:$AM, 11, FALSE) / VLOOKUP("LULUCF|SO2|Respiratory hospital admissions", US_national_yearly!$D:$AM, 10, FALSE), 1)</f>
        <v>3.0531580845457611E-5</v>
      </c>
      <c r="D12" s="7">
        <f>$B12 * IFERROR(VLOOKUP("LULUCF|SO2|Respiratory hospital admissions", US_national_yearly!$D:$AM, 12, FALSE) / VLOOKUP("LULUCF|SO2|Respiratory hospital admissions", US_national_yearly!$D:$AM, 10, FALSE), 1)</f>
        <v>3.0710601752342727E-5</v>
      </c>
      <c r="E12" s="7">
        <f>$B12 * IFERROR(VLOOKUP("LULUCF|SO2|Respiratory hospital admissions", US_national_yearly!$D:$AM, 13, FALSE) / VLOOKUP("LULUCF|SO2|Respiratory hospital admissions", US_national_yearly!$D:$AM, 10, FALSE), 1)</f>
        <v>3.0889622659227843E-5</v>
      </c>
      <c r="F12" s="7">
        <f>$B12 * IFERROR(VLOOKUP("LULUCF|SO2|Respiratory hospital admissions", US_national_yearly!$D:$AM, 14, FALSE) / VLOOKUP("LULUCF|SO2|Respiratory hospital admissions", US_national_yearly!$D:$AM, 10, FALSE), 1)</f>
        <v>3.1068643566112959E-5</v>
      </c>
      <c r="G12" s="7">
        <f>$B12 * IFERROR(VLOOKUP("LULUCF|SO2|Respiratory hospital admissions", US_national_yearly!$D:$AM, 15, FALSE) / VLOOKUP("LULUCF|SO2|Respiratory hospital admissions", US_national_yearly!$D:$AM, 10, FALSE), 1)</f>
        <v>3.1263806550252179E-5</v>
      </c>
      <c r="H12" s="7">
        <f>$B12 * IFERROR(VLOOKUP("LULUCF|SO2|Respiratory hospital admissions", US_national_yearly!$D:$AM, 16, FALSE) / VLOOKUP("LULUCF|SO2|Respiratory hospital admissions", US_national_yearly!$D:$AM, 10, FALSE), 1)</f>
        <v>3.1458969534391392E-5</v>
      </c>
      <c r="I12" s="7">
        <f>$B12 * IFERROR(VLOOKUP("LULUCF|SO2|Respiratory hospital admissions", US_national_yearly!$D:$AM, 17, FALSE) / VLOOKUP("LULUCF|SO2|Respiratory hospital admissions", US_national_yearly!$D:$AM, 10, FALSE), 1)</f>
        <v>3.1651423473663673E-5</v>
      </c>
      <c r="J12" s="7">
        <f>$B12 * IFERROR(VLOOKUP("LULUCF|SO2|Respiratory hospital admissions", US_national_yearly!$D:$AM, 18, FALSE) / VLOOKUP("LULUCF|SO2|Respiratory hospital admissions", US_national_yearly!$D:$AM, 10, FALSE), 1)</f>
        <v>3.184387741293596E-5</v>
      </c>
      <c r="K12" s="7">
        <f>$B12 * IFERROR(VLOOKUP("LULUCF|SO2|Respiratory hospital admissions", US_national_yearly!$D:$AM, 19, FALSE) / VLOOKUP("LULUCF|SO2|Respiratory hospital admissions", US_national_yearly!$D:$AM, 10, FALSE), 1)</f>
        <v>3.2036331352208227E-5</v>
      </c>
      <c r="L12" s="7">
        <f>$B12 * IFERROR(VLOOKUP("LULUCF|SO2|Respiratory hospital admissions", US_national_yearly!$D:$AM, 20, FALSE) / VLOOKUP("LULUCF|SO2|Respiratory hospital admissions", US_national_yearly!$D:$AM, 10, FALSE), 1)</f>
        <v>3.2228785291480515E-5</v>
      </c>
      <c r="M12" s="7">
        <f>$B12 * IFERROR(VLOOKUP("LULUCF|SO2|Respiratory hospital admissions", US_national_yearly!$D:$AM, 21, FALSE) / VLOOKUP("LULUCF|SO2|Respiratory hospital admissions", US_national_yearly!$D:$AM, 10, FALSE), 1)</f>
        <v>3.2421239230752789E-5</v>
      </c>
      <c r="N12" s="7">
        <f>$B12 * IFERROR(VLOOKUP("LULUCF|SO2|Respiratory hospital admissions", US_national_yearly!$D:$AM, 22, FALSE) / VLOOKUP("LULUCF|SO2|Respiratory hospital admissions", US_national_yearly!$D:$AM, 10, FALSE), 1)</f>
        <v>3.256172466563833E-5</v>
      </c>
      <c r="O12" s="7">
        <f>$B12 * IFERROR(VLOOKUP("LULUCF|SO2|Respiratory hospital admissions", US_national_yearly!$D:$AM, 23, FALSE) / VLOOKUP("LULUCF|SO2|Respiratory hospital admissions", US_national_yearly!$D:$AM, 10, FALSE), 1)</f>
        <v>3.2702210100523872E-5</v>
      </c>
      <c r="P12" s="7">
        <f>$B12 * IFERROR(VLOOKUP("LULUCF|SO2|Respiratory hospital admissions", US_national_yearly!$D:$AM, 24, FALSE) / VLOOKUP("LULUCF|SO2|Respiratory hospital admissions", US_national_yearly!$D:$AM, 10, FALSE), 1)</f>
        <v>3.2842695535409414E-5</v>
      </c>
      <c r="Q12" s="7">
        <f>$B12 * IFERROR(VLOOKUP("LULUCF|SO2|Respiratory hospital admissions", US_national_yearly!$D:$AM, 25, FALSE) / VLOOKUP("LULUCF|SO2|Respiratory hospital admissions", US_national_yearly!$D:$AM, 10, FALSE), 1)</f>
        <v>3.2983180970294955E-5</v>
      </c>
      <c r="R12" s="7">
        <f>$B12 * IFERROR(VLOOKUP("LULUCF|SO2|Respiratory hospital admissions", US_national_yearly!$D:$AM, 26, FALSE) / VLOOKUP("LULUCF|SO2|Respiratory hospital admissions", US_national_yearly!$D:$AM, 10, FALSE), 1)</f>
        <v>3.3123666405180497E-5</v>
      </c>
      <c r="S12" s="7">
        <f>$B12 * IFERROR(VLOOKUP("LULUCF|SO2|Respiratory hospital admissions", US_national_yearly!$D:$AM, 27, FALSE) / VLOOKUP("LULUCF|SO2|Respiratory hospital admissions", US_national_yearly!$D:$AM, 10, FALSE), 1)</f>
        <v>3.3257678790720142E-5</v>
      </c>
      <c r="T12" s="7">
        <f>$B12 * IFERROR(VLOOKUP("LULUCF|SO2|Respiratory hospital admissions", US_national_yearly!$D:$AM, 28, FALSE) / VLOOKUP("LULUCF|SO2|Respiratory hospital admissions", US_national_yearly!$D:$AM, 10, FALSE), 1)</f>
        <v>3.3391691176259787E-5</v>
      </c>
      <c r="U12" s="7">
        <f>$B12 * IFERROR(VLOOKUP("LULUCF|SO2|Respiratory hospital admissions", US_national_yearly!$D:$AM, 29, FALSE) / VLOOKUP("LULUCF|SO2|Respiratory hospital admissions", US_national_yearly!$D:$AM, 10, FALSE), 1)</f>
        <v>3.3525703561799432E-5</v>
      </c>
      <c r="V12" s="7">
        <f>$B12 * IFERROR(VLOOKUP("LULUCF|SO2|Respiratory hospital admissions", US_national_yearly!$D:$AM, 30, FALSE) / VLOOKUP("LULUCF|SO2|Respiratory hospital admissions", US_national_yearly!$D:$AM, 10, FALSE), 1)</f>
        <v>3.3659715947339084E-5</v>
      </c>
      <c r="W12" s="7">
        <f>$B12 * IFERROR(VLOOKUP("LULUCF|SO2|Respiratory hospital admissions", US_national_yearly!$D:$AM, 31, FALSE) / VLOOKUP("LULUCF|SO2|Respiratory hospital admissions", US_national_yearly!$D:$AM, 10, FALSE), 1)</f>
        <v>3.3793728332878735E-5</v>
      </c>
      <c r="X12" s="7">
        <f>$B12 * IFERROR(VLOOKUP("LULUCF|SO2|Respiratory hospital admissions", US_national_yearly!$D:$AM, 32, FALSE) / VLOOKUP("LULUCF|SO2|Respiratory hospital admissions", US_national_yearly!$D:$AM, 10, FALSE), 1)</f>
        <v>3.3920884084536889E-5</v>
      </c>
      <c r="Y12" s="7">
        <f>$B12 * IFERROR(VLOOKUP("LULUCF|SO2|Respiratory hospital admissions", US_national_yearly!$D:$AM, 33, FALSE) / VLOOKUP("LULUCF|SO2|Respiratory hospital admissions", US_national_yearly!$D:$AM, 10, FALSE), 1)</f>
        <v>3.4048039836195035E-5</v>
      </c>
      <c r="Z12" s="7">
        <f>$B12 * IFERROR(VLOOKUP("LULUCF|SO2|Respiratory hospital admissions", US_national_yearly!$D:$AM, 34, FALSE) / VLOOKUP("LULUCF|SO2|Respiratory hospital admissions", US_national_yearly!$D:$AM, 10, FALSE), 1)</f>
        <v>3.4175195587853189E-5</v>
      </c>
      <c r="AA12" s="7">
        <f>$B12 * IFERROR(VLOOKUP("LULUCF|SO2|Respiratory hospital admissions", US_national_yearly!$D:$AM, 35, FALSE) / VLOOKUP("LULUCF|SO2|Respiratory hospital admissions", US_national_yearly!$D:$AM, 10, FALSE), 1)</f>
        <v>3.4302351339511342E-5</v>
      </c>
      <c r="AB12" s="7">
        <f>$B12 * IFERROR(VLOOKUP("LULUCF|SO2|Respiratory hospital admissions", US_national_yearly!$D:$AM, 36, FALSE) / VLOOKUP("LULUCF|SO2|Respiratory hospital admissions", US_national_yearly!$D:$AM, 10, FALSE), 1)</f>
        <v>3.4429507091169502E-5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1.8725859585112315E-4</v>
      </c>
      <c r="C13" s="7">
        <f>$B13 * IFERROR(VLOOKUP("LULUCF|SO2|Non-fatal heart attacks", US_national_yearly!$D:$AM, 11, FALSE) / VLOOKUP("LULUCF|SO2|Non-fatal heart attacks", US_national_yearly!$D:$AM, 10, FALSE), 1)</f>
        <v>1.9275582806479826E-4</v>
      </c>
      <c r="D13" s="7">
        <f>$B13 * IFERROR(VLOOKUP("LULUCF|SO2|Non-fatal heart attacks", US_national_yearly!$D:$AM, 12, FALSE) / VLOOKUP("LULUCF|SO2|Non-fatal heart attacks", US_national_yearly!$D:$AM, 10, FALSE), 1)</f>
        <v>1.9825306027847339E-4</v>
      </c>
      <c r="E13" s="7">
        <f>$B13 * IFERROR(VLOOKUP("LULUCF|SO2|Non-fatal heart attacks", US_national_yearly!$D:$AM, 13, FALSE) / VLOOKUP("LULUCF|SO2|Non-fatal heart attacks", US_national_yearly!$D:$AM, 10, FALSE), 1)</f>
        <v>2.037502924921485E-4</v>
      </c>
      <c r="F13" s="7">
        <f>$B13 * IFERROR(VLOOKUP("LULUCF|SO2|Non-fatal heart attacks", US_national_yearly!$D:$AM, 14, FALSE) / VLOOKUP("LULUCF|SO2|Non-fatal heart attacks", US_national_yearly!$D:$AM, 10, FALSE), 1)</f>
        <v>2.0924752470582357E-4</v>
      </c>
      <c r="G13" s="7">
        <f>$B13 * IFERROR(VLOOKUP("LULUCF|SO2|Non-fatal heart attacks", US_national_yearly!$D:$AM, 15, FALSE) / VLOOKUP("LULUCF|SO2|Non-fatal heart attacks", US_national_yearly!$D:$AM, 10, FALSE), 1)</f>
        <v>2.1443192458275672E-4</v>
      </c>
      <c r="H13" s="7">
        <f>$B13 * IFERROR(VLOOKUP("LULUCF|SO2|Non-fatal heart attacks", US_national_yearly!$D:$AM, 16, FALSE) / VLOOKUP("LULUCF|SO2|Non-fatal heart attacks", US_national_yearly!$D:$AM, 10, FALSE), 1)</f>
        <v>2.1961632445968986E-4</v>
      </c>
      <c r="I13" s="7">
        <f>$B13 * IFERROR(VLOOKUP("LULUCF|SO2|Non-fatal heart attacks", US_national_yearly!$D:$AM, 17, FALSE) / VLOOKUP("LULUCF|SO2|Non-fatal heart attacks", US_national_yearly!$D:$AM, 10, FALSE), 1)</f>
        <v>2.2378814112642513E-4</v>
      </c>
      <c r="J13" s="7">
        <f>$B13 * IFERROR(VLOOKUP("LULUCF|SO2|Non-fatal heart attacks", US_national_yearly!$D:$AM, 18, FALSE) / VLOOKUP("LULUCF|SO2|Non-fatal heart attacks", US_national_yearly!$D:$AM, 10, FALSE), 1)</f>
        <v>2.2795995779316045E-4</v>
      </c>
      <c r="K13" s="7">
        <f>$B13 * IFERROR(VLOOKUP("LULUCF|SO2|Non-fatal heart attacks", US_national_yearly!$D:$AM, 19, FALSE) / VLOOKUP("LULUCF|SO2|Non-fatal heart attacks", US_national_yearly!$D:$AM, 10, FALSE), 1)</f>
        <v>2.3213177445989571E-4</v>
      </c>
      <c r="L13" s="7">
        <f>$B13 * IFERROR(VLOOKUP("LULUCF|SO2|Non-fatal heart attacks", US_national_yearly!$D:$AM, 20, FALSE) / VLOOKUP("LULUCF|SO2|Non-fatal heart attacks", US_national_yearly!$D:$AM, 10, FALSE), 1)</f>
        <v>2.3630359112663106E-4</v>
      </c>
      <c r="M13" s="7">
        <f>$B13 * IFERROR(VLOOKUP("LULUCF|SO2|Non-fatal heart attacks", US_national_yearly!$D:$AM, 21, FALSE) / VLOOKUP("LULUCF|SO2|Non-fatal heart attacks", US_national_yearly!$D:$AM, 10, FALSE), 1)</f>
        <v>2.4047540779336638E-4</v>
      </c>
      <c r="N13" s="7">
        <f>$B13 * IFERROR(VLOOKUP("LULUCF|SO2|Non-fatal heart attacks", US_national_yearly!$D:$AM, 22, FALSE) / VLOOKUP("LULUCF|SO2|Non-fatal heart attacks", US_national_yearly!$D:$AM, 10, FALSE), 1)</f>
        <v>2.4318421875731003E-4</v>
      </c>
      <c r="O13" s="7">
        <f>$B13 * IFERROR(VLOOKUP("LULUCF|SO2|Non-fatal heart attacks", US_national_yearly!$D:$AM, 23, FALSE) / VLOOKUP("LULUCF|SO2|Non-fatal heart attacks", US_national_yearly!$D:$AM, 10, FALSE), 1)</f>
        <v>2.4589302972125374E-4</v>
      </c>
      <c r="P13" s="7">
        <f>$B13 * IFERROR(VLOOKUP("LULUCF|SO2|Non-fatal heart attacks", US_national_yearly!$D:$AM, 24, FALSE) / VLOOKUP("LULUCF|SO2|Non-fatal heart attacks", US_national_yearly!$D:$AM, 10, FALSE), 1)</f>
        <v>2.486018406851975E-4</v>
      </c>
      <c r="Q13" s="7">
        <f>$B13 * IFERROR(VLOOKUP("LULUCF|SO2|Non-fatal heart attacks", US_national_yearly!$D:$AM, 25, FALSE) / VLOOKUP("LULUCF|SO2|Non-fatal heart attacks", US_national_yearly!$D:$AM, 10, FALSE), 1)</f>
        <v>2.5131065164914115E-4</v>
      </c>
      <c r="R13" s="7">
        <f>$B13 * IFERROR(VLOOKUP("LULUCF|SO2|Non-fatal heart attacks", US_national_yearly!$D:$AM, 26, FALSE) / VLOOKUP("LULUCF|SO2|Non-fatal heart attacks", US_national_yearly!$D:$AM, 10, FALSE), 1)</f>
        <v>2.5401946261308485E-4</v>
      </c>
      <c r="S13" s="7">
        <f>$B13 * IFERROR(VLOOKUP("LULUCF|SO2|Non-fatal heart attacks", US_national_yearly!$D:$AM, 27, FALSE) / VLOOKUP("LULUCF|SO2|Non-fatal heart attacks", US_national_yearly!$D:$AM, 10, FALSE), 1)</f>
        <v>2.5543371758086962E-4</v>
      </c>
      <c r="T13" s="7">
        <f>$B13 * IFERROR(VLOOKUP("LULUCF|SO2|Non-fatal heart attacks", US_national_yearly!$D:$AM, 28, FALSE) / VLOOKUP("LULUCF|SO2|Non-fatal heart attacks", US_national_yearly!$D:$AM, 10, FALSE), 1)</f>
        <v>2.5684797254865439E-4</v>
      </c>
      <c r="U13" s="7">
        <f>$B13 * IFERROR(VLOOKUP("LULUCF|SO2|Non-fatal heart attacks", US_national_yearly!$D:$AM, 29, FALSE) / VLOOKUP("LULUCF|SO2|Non-fatal heart attacks", US_national_yearly!$D:$AM, 10, FALSE), 1)</f>
        <v>2.5826222751643911E-4</v>
      </c>
      <c r="V13" s="7">
        <f>$B13 * IFERROR(VLOOKUP("LULUCF|SO2|Non-fatal heart attacks", US_national_yearly!$D:$AM, 30, FALSE) / VLOOKUP("LULUCF|SO2|Non-fatal heart attacks", US_national_yearly!$D:$AM, 10, FALSE), 1)</f>
        <v>2.5967648248422382E-4</v>
      </c>
      <c r="W13" s="7">
        <f>$B13 * IFERROR(VLOOKUP("LULUCF|SO2|Non-fatal heart attacks", US_national_yearly!$D:$AM, 31, FALSE) / VLOOKUP("LULUCF|SO2|Non-fatal heart attacks", US_national_yearly!$D:$AM, 10, FALSE), 1)</f>
        <v>2.6109073745200865E-4</v>
      </c>
      <c r="X13" s="7">
        <f>$B13 * IFERROR(VLOOKUP("LULUCF|SO2|Non-fatal heart attacks", US_national_yearly!$D:$AM, 32, FALSE) / VLOOKUP("LULUCF|SO2|Non-fatal heart attacks", US_national_yearly!$D:$AM, 10, FALSE), 1)</f>
        <v>2.6215837624235755E-4</v>
      </c>
      <c r="Y13" s="7">
        <f>$B13 * IFERROR(VLOOKUP("LULUCF|SO2|Non-fatal heart attacks", US_national_yearly!$D:$AM, 33, FALSE) / VLOOKUP("LULUCF|SO2|Non-fatal heart attacks", US_national_yearly!$D:$AM, 10, FALSE), 1)</f>
        <v>2.6322601503270645E-4</v>
      </c>
      <c r="Z13" s="7">
        <f>$B13 * IFERROR(VLOOKUP("LULUCF|SO2|Non-fatal heart attacks", US_national_yearly!$D:$AM, 34, FALSE) / VLOOKUP("LULUCF|SO2|Non-fatal heart attacks", US_national_yearly!$D:$AM, 10, FALSE), 1)</f>
        <v>2.642936538230554E-4</v>
      </c>
      <c r="AA13" s="7">
        <f>$B13 * IFERROR(VLOOKUP("LULUCF|SO2|Non-fatal heart attacks", US_national_yearly!$D:$AM, 35, FALSE) / VLOOKUP("LULUCF|SO2|Non-fatal heart attacks", US_national_yearly!$D:$AM, 10, FALSE), 1)</f>
        <v>2.653612926134043E-4</v>
      </c>
      <c r="AB13" s="7">
        <f>$B13 * IFERROR(VLOOKUP("LULUCF|SO2|Non-fatal heart attacks", US_national_yearly!$D:$AM, 36, FALSE) / VLOOKUP("LULUCF|SO2|Non-fatal heart attacks", US_national_yearly!$D:$AM, 10, FALSE), 1)</f>
        <v>2.664289314037532E-4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0.17313891920284302</v>
      </c>
      <c r="C14" s="7">
        <f>$B14 * IFERROR(VLOOKUP("LULUCF|SO2|Minor restricted activity days", US_national_yearly!$D:$AM, 11, FALSE) / VLOOKUP("LULUCF|SO2|Minor restricted activity days", US_national_yearly!$D:$AM, 10, FALSE), 1)</f>
        <v>0.17357534472959479</v>
      </c>
      <c r="D14" s="7">
        <f>$B14 * IFERROR(VLOOKUP("LULUCF|SO2|Minor restricted activity days", US_national_yearly!$D:$AM, 12, FALSE) / VLOOKUP("LULUCF|SO2|Minor restricted activity days", US_national_yearly!$D:$AM, 10, FALSE), 1)</f>
        <v>0.17401177025634654</v>
      </c>
      <c r="E14" s="7">
        <f>$B14 * IFERROR(VLOOKUP("LULUCF|SO2|Minor restricted activity days", US_national_yearly!$D:$AM, 13, FALSE) / VLOOKUP("LULUCF|SO2|Minor restricted activity days", US_national_yearly!$D:$AM, 10, FALSE), 1)</f>
        <v>0.17444819578309834</v>
      </c>
      <c r="F14" s="7">
        <f>$B14 * IFERROR(VLOOKUP("LULUCF|SO2|Minor restricted activity days", US_national_yearly!$D:$AM, 14, FALSE) / VLOOKUP("LULUCF|SO2|Minor restricted activity days", US_national_yearly!$D:$AM, 10, FALSE), 1)</f>
        <v>0.17488462130985005</v>
      </c>
      <c r="G14" s="7">
        <f>$B14 * IFERROR(VLOOKUP("LULUCF|SO2|Minor restricted activity days", US_national_yearly!$D:$AM, 15, FALSE) / VLOOKUP("LULUCF|SO2|Minor restricted activity days", US_national_yearly!$D:$AM, 10, FALSE), 1)</f>
        <v>0.17552699681054551</v>
      </c>
      <c r="H14" s="7">
        <f>$B14 * IFERROR(VLOOKUP("LULUCF|SO2|Minor restricted activity days", US_national_yearly!$D:$AM, 16, FALSE) / VLOOKUP("LULUCF|SO2|Minor restricted activity days", US_national_yearly!$D:$AM, 10, FALSE), 1)</f>
        <v>0.17616937231124094</v>
      </c>
      <c r="I14" s="7">
        <f>$B14 * IFERROR(VLOOKUP("LULUCF|SO2|Minor restricted activity days", US_national_yearly!$D:$AM, 17, FALSE) / VLOOKUP("LULUCF|SO2|Minor restricted activity days", US_national_yearly!$D:$AM, 10, FALSE), 1)</f>
        <v>0.17726488385126501</v>
      </c>
      <c r="J14" s="7">
        <f>$B14 * IFERROR(VLOOKUP("LULUCF|SO2|Minor restricted activity days", US_national_yearly!$D:$AM, 18, FALSE) / VLOOKUP("LULUCF|SO2|Minor restricted activity days", US_national_yearly!$D:$AM, 10, FALSE), 1)</f>
        <v>0.17836039539128912</v>
      </c>
      <c r="K14" s="7">
        <f>$B14 * IFERROR(VLOOKUP("LULUCF|SO2|Minor restricted activity days", US_national_yearly!$D:$AM, 19, FALSE) / VLOOKUP("LULUCF|SO2|Minor restricted activity days", US_national_yearly!$D:$AM, 10, FALSE), 1)</f>
        <v>0.17945590693131322</v>
      </c>
      <c r="L14" s="7">
        <f>$B14 * IFERROR(VLOOKUP("LULUCF|SO2|Minor restricted activity days", US_national_yearly!$D:$AM, 20, FALSE) / VLOOKUP("LULUCF|SO2|Minor restricted activity days", US_national_yearly!$D:$AM, 10, FALSE), 1)</f>
        <v>0.18055141847133732</v>
      </c>
      <c r="M14" s="7">
        <f>$B14 * IFERROR(VLOOKUP("LULUCF|SO2|Minor restricted activity days", US_national_yearly!$D:$AM, 21, FALSE) / VLOOKUP("LULUCF|SO2|Minor restricted activity days", US_national_yearly!$D:$AM, 10, FALSE), 1)</f>
        <v>0.1816469300113614</v>
      </c>
      <c r="N14" s="7">
        <f>$B14 * IFERROR(VLOOKUP("LULUCF|SO2|Minor restricted activity days", US_national_yearly!$D:$AM, 22, FALSE) / VLOOKUP("LULUCF|SO2|Minor restricted activity days", US_national_yearly!$D:$AM, 10, FALSE), 1)</f>
        <v>0.1831454140134518</v>
      </c>
      <c r="O14" s="7">
        <f>$B14 * IFERROR(VLOOKUP("LULUCF|SO2|Minor restricted activity days", US_national_yearly!$D:$AM, 23, FALSE) / VLOOKUP("LULUCF|SO2|Minor restricted activity days", US_national_yearly!$D:$AM, 10, FALSE), 1)</f>
        <v>0.18464389801554221</v>
      </c>
      <c r="P14" s="7">
        <f>$B14 * IFERROR(VLOOKUP("LULUCF|SO2|Minor restricted activity days", US_national_yearly!$D:$AM, 24, FALSE) / VLOOKUP("LULUCF|SO2|Minor restricted activity days", US_national_yearly!$D:$AM, 10, FALSE), 1)</f>
        <v>0.18614238201763264</v>
      </c>
      <c r="Q14" s="7">
        <f>$B14 * IFERROR(VLOOKUP("LULUCF|SO2|Minor restricted activity days", US_national_yearly!$D:$AM, 25, FALSE) / VLOOKUP("LULUCF|SO2|Minor restricted activity days", US_national_yearly!$D:$AM, 10, FALSE), 1)</f>
        <v>0.18764086601972305</v>
      </c>
      <c r="R14" s="7">
        <f>$B14 * IFERROR(VLOOKUP("LULUCF|SO2|Minor restricted activity days", US_national_yearly!$D:$AM, 26, FALSE) / VLOOKUP("LULUCF|SO2|Minor restricted activity days", US_national_yearly!$D:$AM, 10, FALSE), 1)</f>
        <v>0.18913935002181345</v>
      </c>
      <c r="S14" s="7">
        <f>$B14 * IFERROR(VLOOKUP("LULUCF|SO2|Minor restricted activity days", US_national_yearly!$D:$AM, 27, FALSE) / VLOOKUP("LULUCF|SO2|Minor restricted activity days", US_national_yearly!$D:$AM, 10, FALSE), 1)</f>
        <v>0.19066720112445529</v>
      </c>
      <c r="T14" s="7">
        <f>$B14 * IFERROR(VLOOKUP("LULUCF|SO2|Minor restricted activity days", US_national_yearly!$D:$AM, 28, FALSE) / VLOOKUP("LULUCF|SO2|Minor restricted activity days", US_national_yearly!$D:$AM, 10, FALSE), 1)</f>
        <v>0.19219505222709712</v>
      </c>
      <c r="U14" s="7">
        <f>$B14 * IFERROR(VLOOKUP("LULUCF|SO2|Minor restricted activity days", US_national_yearly!$D:$AM, 29, FALSE) / VLOOKUP("LULUCF|SO2|Minor restricted activity days", US_national_yearly!$D:$AM, 10, FALSE), 1)</f>
        <v>0.19372290332973893</v>
      </c>
      <c r="V14" s="7">
        <f>$B14 * IFERROR(VLOOKUP("LULUCF|SO2|Minor restricted activity days", US_national_yearly!$D:$AM, 30, FALSE) / VLOOKUP("LULUCF|SO2|Minor restricted activity days", US_national_yearly!$D:$AM, 10, FALSE), 1)</f>
        <v>0.19525075443238077</v>
      </c>
      <c r="W14" s="7">
        <f>$B14 * IFERROR(VLOOKUP("LULUCF|SO2|Minor restricted activity days", US_national_yearly!$D:$AM, 31, FALSE) / VLOOKUP("LULUCF|SO2|Minor restricted activity days", US_national_yearly!$D:$AM, 10, FALSE), 1)</f>
        <v>0.19677860553502263</v>
      </c>
      <c r="X14" s="7">
        <f>$B14 * IFERROR(VLOOKUP("LULUCF|SO2|Minor restricted activity days", US_national_yearly!$D:$AM, 32, FALSE) / VLOOKUP("LULUCF|SO2|Minor restricted activity days", US_national_yearly!$D:$AM, 10, FALSE), 1)</f>
        <v>0.19812222882715011</v>
      </c>
      <c r="Y14" s="7">
        <f>$B14 * IFERROR(VLOOKUP("LULUCF|SO2|Minor restricted activity days", US_national_yearly!$D:$AM, 33, FALSE) / VLOOKUP("LULUCF|SO2|Minor restricted activity days", US_national_yearly!$D:$AM, 10, FALSE), 1)</f>
        <v>0.19946585211927756</v>
      </c>
      <c r="Z14" s="7">
        <f>$B14 * IFERROR(VLOOKUP("LULUCF|SO2|Minor restricted activity days", US_national_yearly!$D:$AM, 34, FALSE) / VLOOKUP("LULUCF|SO2|Minor restricted activity days", US_national_yearly!$D:$AM, 10, FALSE), 1)</f>
        <v>0.20080947541140509</v>
      </c>
      <c r="AA14" s="7">
        <f>$B14 * IFERROR(VLOOKUP("LULUCF|SO2|Minor restricted activity days", US_national_yearly!$D:$AM, 35, FALSE) / VLOOKUP("LULUCF|SO2|Minor restricted activity days", US_national_yearly!$D:$AM, 10, FALSE), 1)</f>
        <v>0.20215309870353254</v>
      </c>
      <c r="AB14" s="7">
        <f>$B14 * IFERROR(VLOOKUP("LULUCF|SO2|Minor restricted activity days", US_national_yearly!$D:$AM, 36, FALSE) / VLOOKUP("LULUCF|SO2|Minor restricted activity days", US_national_yearly!$D:$AM, 10, FALSE), 1)</f>
        <v>0.20349672199566005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2.9534350764098844E-2</v>
      </c>
      <c r="C15" s="7">
        <f>$B15 * IFERROR(VLOOKUP("LULUCF|SO2|Work loss days", US_national_yearly!$D:$AM, 11, FALSE) / VLOOKUP("LULUCF|SO2|Work loss days", US_national_yearly!$D:$AM, 10, FALSE), 1)</f>
        <v>2.9630037366504682E-2</v>
      </c>
      <c r="D15" s="7">
        <f>$B15 * IFERROR(VLOOKUP("LULUCF|SO2|Work loss days", US_national_yearly!$D:$AM, 12, FALSE) / VLOOKUP("LULUCF|SO2|Work loss days", US_national_yearly!$D:$AM, 10, FALSE), 1)</f>
        <v>2.972572396891052E-2</v>
      </c>
      <c r="E15" s="7">
        <f>$B15 * IFERROR(VLOOKUP("LULUCF|SO2|Work loss days", US_national_yearly!$D:$AM, 13, FALSE) / VLOOKUP("LULUCF|SO2|Work loss days", US_national_yearly!$D:$AM, 10, FALSE), 1)</f>
        <v>2.9821410571316358E-2</v>
      </c>
      <c r="F15" s="7">
        <f>$B15 * IFERROR(VLOOKUP("LULUCF|SO2|Work loss days", US_national_yearly!$D:$AM, 14, FALSE) / VLOOKUP("LULUCF|SO2|Work loss days", US_national_yearly!$D:$AM, 10, FALSE), 1)</f>
        <v>2.9917097173722196E-2</v>
      </c>
      <c r="G15" s="7">
        <f>$B15 * IFERROR(VLOOKUP("LULUCF|SO2|Work loss days", US_national_yearly!$D:$AM, 15, FALSE) / VLOOKUP("LULUCF|SO2|Work loss days", US_national_yearly!$D:$AM, 10, FALSE), 1)</f>
        <v>3.0042123427769556E-2</v>
      </c>
      <c r="H15" s="7">
        <f>$B15 * IFERROR(VLOOKUP("LULUCF|SO2|Work loss days", US_national_yearly!$D:$AM, 16, FALSE) / VLOOKUP("LULUCF|SO2|Work loss days", US_national_yearly!$D:$AM, 10, FALSE), 1)</f>
        <v>3.0167149681816906E-2</v>
      </c>
      <c r="I15" s="7">
        <f>$B15 * IFERROR(VLOOKUP("LULUCF|SO2|Work loss days", US_national_yearly!$D:$AM, 17, FALSE) / VLOOKUP("LULUCF|SO2|Work loss days", US_national_yearly!$D:$AM, 10, FALSE), 1)</f>
        <v>3.0350046307924424E-2</v>
      </c>
      <c r="J15" s="7">
        <f>$B15 * IFERROR(VLOOKUP("LULUCF|SO2|Work loss days", US_national_yearly!$D:$AM, 18, FALSE) / VLOOKUP("LULUCF|SO2|Work loss days", US_national_yearly!$D:$AM, 10, FALSE), 1)</f>
        <v>3.0532942934031932E-2</v>
      </c>
      <c r="K15" s="7">
        <f>$B15 * IFERROR(VLOOKUP("LULUCF|SO2|Work loss days", US_national_yearly!$D:$AM, 19, FALSE) / VLOOKUP("LULUCF|SO2|Work loss days", US_national_yearly!$D:$AM, 10, FALSE), 1)</f>
        <v>3.071583956013945E-2</v>
      </c>
      <c r="L15" s="7">
        <f>$B15 * IFERROR(VLOOKUP("LULUCF|SO2|Work loss days", US_national_yearly!$D:$AM, 20, FALSE) / VLOOKUP("LULUCF|SO2|Work loss days", US_national_yearly!$D:$AM, 10, FALSE), 1)</f>
        <v>3.0898736186246965E-2</v>
      </c>
      <c r="M15" s="7">
        <f>$B15 * IFERROR(VLOOKUP("LULUCF|SO2|Work loss days", US_national_yearly!$D:$AM, 21, FALSE) / VLOOKUP("LULUCF|SO2|Work loss days", US_national_yearly!$D:$AM, 10, FALSE), 1)</f>
        <v>3.108163281235448E-2</v>
      </c>
      <c r="N15" s="7">
        <f>$B15 * IFERROR(VLOOKUP("LULUCF|SO2|Work loss days", US_national_yearly!$D:$AM, 22, FALSE) / VLOOKUP("LULUCF|SO2|Work loss days", US_national_yearly!$D:$AM, 10, FALSE), 1)</f>
        <v>3.1310955542989301E-2</v>
      </c>
      <c r="O15" s="7">
        <f>$B15 * IFERROR(VLOOKUP("LULUCF|SO2|Work loss days", US_national_yearly!$D:$AM, 23, FALSE) / VLOOKUP("LULUCF|SO2|Work loss days", US_national_yearly!$D:$AM, 10, FALSE), 1)</f>
        <v>3.1540278273624128E-2</v>
      </c>
      <c r="P15" s="7">
        <f>$B15 * IFERROR(VLOOKUP("LULUCF|SO2|Work loss days", US_national_yearly!$D:$AM, 24, FALSE) / VLOOKUP("LULUCF|SO2|Work loss days", US_national_yearly!$D:$AM, 10, FALSE), 1)</f>
        <v>3.1769601004258942E-2</v>
      </c>
      <c r="Q15" s="7">
        <f>$B15 * IFERROR(VLOOKUP("LULUCF|SO2|Work loss days", US_national_yearly!$D:$AM, 25, FALSE) / VLOOKUP("LULUCF|SO2|Work loss days", US_national_yearly!$D:$AM, 10, FALSE), 1)</f>
        <v>3.1998923734893762E-2</v>
      </c>
      <c r="R15" s="7">
        <f>$B15 * IFERROR(VLOOKUP("LULUCF|SO2|Work loss days", US_national_yearly!$D:$AM, 26, FALSE) / VLOOKUP("LULUCF|SO2|Work loss days", US_national_yearly!$D:$AM, 10, FALSE), 1)</f>
        <v>3.2228246465528583E-2</v>
      </c>
      <c r="S15" s="7">
        <f>$B15 * IFERROR(VLOOKUP("LULUCF|SO2|Work loss days", US_national_yearly!$D:$AM, 27, FALSE) / VLOOKUP("LULUCF|SO2|Work loss days", US_national_yearly!$D:$AM, 10, FALSE), 1)</f>
        <v>3.2484513860945613E-2</v>
      </c>
      <c r="T15" s="7">
        <f>$B15 * IFERROR(VLOOKUP("LULUCF|SO2|Work loss days", US_national_yearly!$D:$AM, 28, FALSE) / VLOOKUP("LULUCF|SO2|Work loss days", US_national_yearly!$D:$AM, 10, FALSE), 1)</f>
        <v>3.2740781256362643E-2</v>
      </c>
      <c r="U15" s="7">
        <f>$B15 * IFERROR(VLOOKUP("LULUCF|SO2|Work loss days", US_national_yearly!$D:$AM, 29, FALSE) / VLOOKUP("LULUCF|SO2|Work loss days", US_national_yearly!$D:$AM, 10, FALSE), 1)</f>
        <v>3.2997048651779673E-2</v>
      </c>
      <c r="V15" s="7">
        <f>$B15 * IFERROR(VLOOKUP("LULUCF|SO2|Work loss days", US_national_yearly!$D:$AM, 30, FALSE) / VLOOKUP("LULUCF|SO2|Work loss days", US_national_yearly!$D:$AM, 10, FALSE), 1)</f>
        <v>3.3253316047196696E-2</v>
      </c>
      <c r="W15" s="7">
        <f>$B15 * IFERROR(VLOOKUP("LULUCF|SO2|Work loss days", US_national_yearly!$D:$AM, 31, FALSE) / VLOOKUP("LULUCF|SO2|Work loss days", US_national_yearly!$D:$AM, 10, FALSE), 1)</f>
        <v>3.3509583442613726E-2</v>
      </c>
      <c r="X15" s="7">
        <f>$B15 * IFERROR(VLOOKUP("LULUCF|SO2|Work loss days", US_national_yearly!$D:$AM, 32, FALSE) / VLOOKUP("LULUCF|SO2|Work loss days", US_national_yearly!$D:$AM, 10, FALSE), 1)</f>
        <v>3.3739676240667801E-2</v>
      </c>
      <c r="Y15" s="7">
        <f>$B15 * IFERROR(VLOOKUP("LULUCF|SO2|Work loss days", US_national_yearly!$D:$AM, 33, FALSE) / VLOOKUP("LULUCF|SO2|Work loss days", US_national_yearly!$D:$AM, 10, FALSE), 1)</f>
        <v>3.3969769038721884E-2</v>
      </c>
      <c r="Z15" s="7">
        <f>$B15 * IFERROR(VLOOKUP("LULUCF|SO2|Work loss days", US_national_yearly!$D:$AM, 34, FALSE) / VLOOKUP("LULUCF|SO2|Work loss days", US_national_yearly!$D:$AM, 10, FALSE), 1)</f>
        <v>3.4199861836775966E-2</v>
      </c>
      <c r="AA15" s="7">
        <f>$B15 * IFERROR(VLOOKUP("LULUCF|SO2|Work loss days", US_national_yearly!$D:$AM, 35, FALSE) / VLOOKUP("LULUCF|SO2|Work loss days", US_national_yearly!$D:$AM, 10, FALSE), 1)</f>
        <v>3.4429954634830041E-2</v>
      </c>
      <c r="AB15" s="7">
        <f>$B15 * IFERROR(VLOOKUP("LULUCF|SO2|Work loss days", US_national_yearly!$D:$AM, 36, FALSE) / VLOOKUP("LULUCF|SO2|Work loss days", US_national_yearly!$D:$AM, 10, FALSE), 1)</f>
        <v>3.4660047432884124E-2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4.6169327565694626E-5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4.7565664833109378E-5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4.8962002100524131E-5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5.0358339367938876E-5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5.1754676635353642E-5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5.3092234966615622E-5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5.4429793297877614E-5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5.5575819765539409E-5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5.6721846233201196E-5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5.7867872700862984E-5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5.9013899168524779E-5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6.015992563618656E-5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6.0929794369348043E-5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6.1699663102509513E-5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6.246953183567099E-5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6.3239400568832467E-5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6.4009269301993943E-5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6.4414165440931879E-5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6.4819061579869815E-5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6.5223957718807751E-5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6.5628853857745701E-5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6.6033749996683637E-5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6.6305570159596412E-5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6.6577390322509187E-5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6.6849210485421962E-5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6.7121030648334737E-5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6.7392850811247499E-5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2026-06-15T17:17:23Z</dcterms:modified>
</cp:coreProperties>
</file>