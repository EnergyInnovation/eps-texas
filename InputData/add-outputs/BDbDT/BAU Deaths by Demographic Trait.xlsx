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6D9F863B-5061-44ED-83DB-231DAE959CAF}"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<sst xmlns="http://schemas.openxmlformats.org/spreadsheetml/2006/main" count="5677" uniqueCount="335">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</sst>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168</v>
      </c>
    </row>
    <row r="2" spans="1:2" x14ac:dyDescent="0.25">
      <c r="A2" s="3" t="s">
        <v>2</v>
      </c>
      <c r="B2" s="4" t="str">
        <f>IFERROR(INDEX(Geography!B:B, MATCH($B$1, Geography!C:C, 0)), "")</f>
        <v>TX</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15617671</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31290831</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1.0067681235504966</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15673160</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31290831</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0.99334575229744349</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23840793</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31290831</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1.0138896740921999</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4288977</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31290831</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1.0033430839311805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2005779</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31290831</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0.99272946158641129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1155282</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31290831</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0.77981236385099784</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12602294</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31290831</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2.0638917683718696</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18688537</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31290831</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0.74205772642835555</v>
      </c>
    </row>
    <row r="12" spans="1:28" x14ac:dyDescent="0.25">
      <c r="A12" s="4" t="s">
        <v>319</v>
      </c>
    </row>
    <row r="13" spans="1:28" x14ac:dyDescent="0.25">
      <c r="A13" s="4" t="s">
        <v>320</v>
      </c>
      <c r="B13" s="37">
        <f>INDEX(Census_pop_2020_2025!G:G, MATCH("."&amp;About!$B$1, Census_pop_2020_2025!A:A, 0))</f>
        <v>31318578</v>
      </c>
      <c r="C13" s="37">
        <f>INDEX(Census_pop_2020_2025!H:H, MATCH("."&amp;About!$B$1, Census_pop_2020_2025!A:A, 0))</f>
        <v>31709821</v>
      </c>
      <c r="D13" s="37">
        <f>INDEX(Census_pop_2020_2025!H:H, MATCH("."&amp;About!$B$1, Census_pop_2020_2025!A:A, 0))+0.2*(INDEX(Cooper_pop_2030_2050!D:D, MATCH(About!$B$1, Cooper_pop_2030_2050!B:B, 0))-INDEX(Census_pop_2020_2025!H:H, MATCH("."&amp;About!$B$1, Census_pop_2020_2025!A:A, 0)))</f>
        <v>31860577.139318027</v>
      </c>
      <c r="E13" s="37">
        <f>INDEX(Census_pop_2020_2025!H:H, MATCH("."&amp;About!$B$1, Census_pop_2020_2025!A:A, 0))+0.4*(INDEX(Cooper_pop_2030_2050!D:D, MATCH(About!$B$1, Cooper_pop_2030_2050!B:B, 0))-INDEX(Census_pop_2020_2025!H:H, MATCH("."&amp;About!$B$1, Census_pop_2020_2025!A:A, 0)))</f>
        <v>32011333.278636057</v>
      </c>
      <c r="F13" s="37">
        <f>INDEX(Census_pop_2020_2025!H:H, MATCH("."&amp;About!$B$1, Census_pop_2020_2025!A:A, 0))+0.6*(INDEX(Cooper_pop_2030_2050!D:D, MATCH(About!$B$1, Cooper_pop_2030_2050!B:B, 0))-INDEX(Census_pop_2020_2025!H:H, MATCH("."&amp;About!$B$1, Census_pop_2020_2025!A:A, 0)))</f>
        <v>32162089.417954084</v>
      </c>
      <c r="G13" s="37">
        <f>INDEX(Census_pop_2020_2025!H:H, MATCH("."&amp;About!$B$1, Census_pop_2020_2025!A:A, 0))+0.8*(INDEX(Cooper_pop_2030_2050!D:D, MATCH(About!$B$1, Cooper_pop_2030_2050!B:B, 0))-INDEX(Census_pop_2020_2025!H:H, MATCH("."&amp;About!$B$1, Census_pop_2020_2025!A:A, 0)))</f>
        <v>32312845.557272114</v>
      </c>
      <c r="H13" s="37">
        <f>INDEX(Cooper_pop_2030_2050!D:D, MATCH(About!$B$1, Cooper_pop_2030_2050!B:B, 0))</f>
        <v>32463601.69659014</v>
      </c>
      <c r="I13" s="37">
        <f>INDEX(Cooper_pop_2030_2050!D:D, MATCH(About!$B$1, Cooper_pop_2030_2050!B:B, 0))+0.1*(INDEX(Cooper_pop_2030_2050!E:E, MATCH(About!$B$1, Cooper_pop_2030_2050!B:B, 0))-INDEX(Cooper_pop_2030_2050!D:D, MATCH(About!$B$1, Cooper_pop_2030_2050!B:B, 0)))</f>
        <v>32834945.958398774</v>
      </c>
      <c r="J13" s="37">
        <f>INDEX(Cooper_pop_2030_2050!D:D, MATCH(About!$B$1, Cooper_pop_2030_2050!B:B, 0))+0.2*(INDEX(Cooper_pop_2030_2050!E:E, MATCH(About!$B$1, Cooper_pop_2030_2050!B:B, 0))-INDEX(Cooper_pop_2030_2050!D:D, MATCH(About!$B$1, Cooper_pop_2030_2050!B:B, 0)))</f>
        <v>33206290.220207412</v>
      </c>
      <c r="K13" s="37">
        <f>INDEX(Cooper_pop_2030_2050!D:D, MATCH(About!$B$1, Cooper_pop_2030_2050!B:B, 0))+0.3*(INDEX(Cooper_pop_2030_2050!E:E, MATCH(About!$B$1, Cooper_pop_2030_2050!B:B, 0))-INDEX(Cooper_pop_2030_2050!D:D, MATCH(About!$B$1, Cooper_pop_2030_2050!B:B, 0)))</f>
        <v>33577634.482016049</v>
      </c>
      <c r="L13" s="37">
        <f>INDEX(Cooper_pop_2030_2050!D:D, MATCH(About!$B$1, Cooper_pop_2030_2050!B:B, 0))+0.4*(INDEX(Cooper_pop_2030_2050!E:E, MATCH(About!$B$1, Cooper_pop_2030_2050!B:B, 0))-INDEX(Cooper_pop_2030_2050!D:D, MATCH(About!$B$1, Cooper_pop_2030_2050!B:B, 0)))</f>
        <v>33948978.743824683</v>
      </c>
      <c r="M13" s="37">
        <f>INDEX(Cooper_pop_2030_2050!D:D, MATCH(About!$B$1, Cooper_pop_2030_2050!B:B, 0))+0.5*(INDEX(Cooper_pop_2030_2050!E:E, MATCH(About!$B$1, Cooper_pop_2030_2050!B:B, 0))-INDEX(Cooper_pop_2030_2050!D:D, MATCH(About!$B$1, Cooper_pop_2030_2050!B:B, 0)))</f>
        <v>34320323.005633317</v>
      </c>
      <c r="N13" s="37">
        <f>INDEX(Cooper_pop_2030_2050!D:D, MATCH(About!$B$1, Cooper_pop_2030_2050!B:B, 0))+0.6*(INDEX(Cooper_pop_2030_2050!E:E, MATCH(About!$B$1, Cooper_pop_2030_2050!B:B, 0))-INDEX(Cooper_pop_2030_2050!D:D, MATCH(About!$B$1, Cooper_pop_2030_2050!B:B, 0)))</f>
        <v>34691667.267441951</v>
      </c>
      <c r="O13" s="37">
        <f>INDEX(Cooper_pop_2030_2050!D:D, MATCH(About!$B$1, Cooper_pop_2030_2050!B:B, 0))+0.7*(INDEX(Cooper_pop_2030_2050!E:E, MATCH(About!$B$1, Cooper_pop_2030_2050!B:B, 0))-INDEX(Cooper_pop_2030_2050!D:D, MATCH(About!$B$1, Cooper_pop_2030_2050!B:B, 0)))</f>
        <v>35063011.529250585</v>
      </c>
      <c r="P13" s="37">
        <f>INDEX(Cooper_pop_2030_2050!D:D, MATCH(About!$B$1, Cooper_pop_2030_2050!B:B, 0))+0.8*(INDEX(Cooper_pop_2030_2050!E:E, MATCH(About!$B$1, Cooper_pop_2030_2050!B:B, 0))-INDEX(Cooper_pop_2030_2050!D:D, MATCH(About!$B$1, Cooper_pop_2030_2050!B:B, 0)))</f>
        <v>35434355.791059226</v>
      </c>
      <c r="Q13" s="37">
        <f>INDEX(Cooper_pop_2030_2050!D:D, MATCH(About!$B$1, Cooper_pop_2030_2050!B:B, 0))+0.9*(INDEX(Cooper_pop_2030_2050!E:E, MATCH(About!$B$1, Cooper_pop_2030_2050!B:B, 0))-INDEX(Cooper_pop_2030_2050!D:D, MATCH(About!$B$1, Cooper_pop_2030_2050!B:B, 0)))</f>
        <v>35805700.05286786</v>
      </c>
      <c r="R13" s="37">
        <f>INDEX(Cooper_pop_2030_2050!E:E, MATCH(About!$B$1, Cooper_pop_2030_2050!B:B, 0))</f>
        <v>36177044.314676493</v>
      </c>
      <c r="S13" s="37">
        <f>INDEX(Cooper_pop_2030_2050!E:E, MATCH(About!$B$1, Cooper_pop_2030_2050!B:B, 0))+0.1*(INDEX(Cooper_pop_2030_2050!F:F, MATCH(About!$B$1, Cooper_pop_2030_2050!B:B, 0))-INDEX(Cooper_pop_2030_2050!E:E, MATCH(About!$B$1, Cooper_pop_2030_2050!B:B, 0)))</f>
        <v>36543624.853051856</v>
      </c>
      <c r="T13" s="37">
        <f>INDEX(Cooper_pop_2030_2050!E:E, MATCH(About!$B$1, Cooper_pop_2030_2050!B:B, 0))+0.2*(INDEX(Cooper_pop_2030_2050!F:F, MATCH(About!$B$1, Cooper_pop_2030_2050!B:B, 0))-INDEX(Cooper_pop_2030_2050!E:E, MATCH(About!$B$1, Cooper_pop_2030_2050!B:B, 0)))</f>
        <v>36910205.391427226</v>
      </c>
      <c r="U13" s="37">
        <f>INDEX(Cooper_pop_2030_2050!E:E, MATCH(About!$B$1, Cooper_pop_2030_2050!B:B, 0))+0.3*(INDEX(Cooper_pop_2030_2050!F:F, MATCH(About!$B$1, Cooper_pop_2030_2050!B:B, 0))-INDEX(Cooper_pop_2030_2050!E:E, MATCH(About!$B$1, Cooper_pop_2030_2050!B:B, 0)))</f>
        <v>37276785.929802589</v>
      </c>
      <c r="V13" s="37">
        <f>INDEX(Cooper_pop_2030_2050!E:E, MATCH(About!$B$1, Cooper_pop_2030_2050!B:B, 0))+0.4*(INDEX(Cooper_pop_2030_2050!F:F, MATCH(About!$B$1, Cooper_pop_2030_2050!B:B, 0))-INDEX(Cooper_pop_2030_2050!E:E, MATCH(About!$B$1, Cooper_pop_2030_2050!B:B, 0)))</f>
        <v>37643366.468177952</v>
      </c>
      <c r="W13" s="37">
        <f>INDEX(Cooper_pop_2030_2050!E:E, MATCH(About!$B$1, Cooper_pop_2030_2050!B:B, 0))+0.5*(INDEX(Cooper_pop_2030_2050!F:F, MATCH(About!$B$1, Cooper_pop_2030_2050!B:B, 0))-INDEX(Cooper_pop_2030_2050!E:E, MATCH(About!$B$1, Cooper_pop_2030_2050!B:B, 0)))</f>
        <v>38009947.006553322</v>
      </c>
      <c r="X13" s="37">
        <f>INDEX(Cooper_pop_2030_2050!E:E, MATCH(About!$B$1, Cooper_pop_2030_2050!B:B, 0))+0.6*(INDEX(Cooper_pop_2030_2050!F:F, MATCH(About!$B$1, Cooper_pop_2030_2050!B:B, 0))-INDEX(Cooper_pop_2030_2050!E:E, MATCH(About!$B$1, Cooper_pop_2030_2050!B:B, 0)))</f>
        <v>38376527.544928685</v>
      </c>
      <c r="Y13" s="37">
        <f>INDEX(Cooper_pop_2030_2050!E:E, MATCH(About!$B$1, Cooper_pop_2030_2050!B:B, 0))+0.7*(INDEX(Cooper_pop_2030_2050!F:F, MATCH(About!$B$1, Cooper_pop_2030_2050!B:B, 0))-INDEX(Cooper_pop_2030_2050!E:E, MATCH(About!$B$1, Cooper_pop_2030_2050!B:B, 0)))</f>
        <v>38743108.083304048</v>
      </c>
      <c r="Z13" s="37">
        <f>INDEX(Cooper_pop_2030_2050!E:E, MATCH(About!$B$1, Cooper_pop_2030_2050!B:B, 0))+0.8*(INDEX(Cooper_pop_2030_2050!F:F, MATCH(About!$B$1, Cooper_pop_2030_2050!B:B, 0))-INDEX(Cooper_pop_2030_2050!E:E, MATCH(About!$B$1, Cooper_pop_2030_2050!B:B, 0)))</f>
        <v>39109688.62167941</v>
      </c>
      <c r="AA13" s="37">
        <f>INDEX(Cooper_pop_2030_2050!E:E, MATCH(About!$B$1, Cooper_pop_2030_2050!B:B, 0))+0.9*(INDEX(Cooper_pop_2030_2050!F:F, MATCH(About!$B$1, Cooper_pop_2030_2050!B:B, 0))-INDEX(Cooper_pop_2030_2050!E:E, MATCH(About!$B$1, Cooper_pop_2030_2050!B:B, 0)))</f>
        <v>39476269.160054781</v>
      </c>
      <c r="AB13" s="37">
        <f>INDEX(Cooper_pop_2030_2050!F:F, MATCH(About!$B$1, Cooper_pop_2030_2050!B:B, 0))</f>
        <v>39842849.698430143</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9.3076486597054975E-2</v>
      </c>
      <c r="C15" s="39">
        <f t="shared" si="1"/>
        <v>9.3811525794089093E-2</v>
      </c>
      <c r="D15" s="39">
        <f t="shared" si="1"/>
        <v>9.3841982240529309E-2</v>
      </c>
      <c r="E15" s="39">
        <f t="shared" si="1"/>
        <v>9.388300059438591E-2</v>
      </c>
      <c r="F15" s="39">
        <f t="shared" si="1"/>
        <v>9.39355122612653E-2</v>
      </c>
      <c r="G15" s="39">
        <f t="shared" si="1"/>
        <v>9.3999968591683442E-2</v>
      </c>
      <c r="H15" s="39">
        <f t="shared" si="1"/>
        <v>9.4077335934411963E-2</v>
      </c>
      <c r="I15" s="39">
        <f t="shared" si="1"/>
        <v>9.4805727710961393E-2</v>
      </c>
      <c r="J15" s="39">
        <f t="shared" si="1"/>
        <v>9.5545269984522729E-2</v>
      </c>
      <c r="K15" s="39">
        <f t="shared" si="1"/>
        <v>9.6293260678599654E-2</v>
      </c>
      <c r="L15" s="39">
        <f t="shared" si="1"/>
        <v>9.7050419094539361E-2</v>
      </c>
      <c r="M15" s="39">
        <f t="shared" si="1"/>
        <v>9.7817411422103789E-2</v>
      </c>
      <c r="N15" s="39">
        <f t="shared" si="1"/>
        <v>9.8594822355282344E-2</v>
      </c>
      <c r="O15" s="39">
        <f t="shared" si="1"/>
        <v>9.9383249883045754E-2</v>
      </c>
      <c r="P15" s="39">
        <f t="shared" si="1"/>
        <v>0.10018317552580308</v>
      </c>
      <c r="Q15" s="39">
        <f t="shared" si="1"/>
        <v>0.10099488026151597</v>
      </c>
      <c r="R15" s="39">
        <f t="shared" si="1"/>
        <v>0.10181852416327196</v>
      </c>
      <c r="S15" s="39">
        <f t="shared" si="1"/>
        <v>0.10264096058233439</v>
      </c>
      <c r="T15" s="39">
        <f t="shared" si="1"/>
        <v>0.10347530979287498</v>
      </c>
      <c r="U15" s="39">
        <f t="shared" si="1"/>
        <v>0.1043210931792881</v>
      </c>
      <c r="V15" s="39">
        <f t="shared" si="1"/>
        <v>0.10517745039371701</v>
      </c>
      <c r="W15" s="39">
        <f t="shared" si="1"/>
        <v>0.10604330419688351</v>
      </c>
      <c r="X15" s="39">
        <f t="shared" si="1"/>
        <v>0.10691748438109501</v>
      </c>
      <c r="Y15" s="39">
        <f t="shared" si="1"/>
        <v>0.10779931287848458</v>
      </c>
      <c r="Z15" s="39">
        <f t="shared" si="1"/>
        <v>0.10868760874576941</v>
      </c>
      <c r="AA15" s="39">
        <f t="shared" si="1"/>
        <v>0.10958111900783912</v>
      </c>
      <c r="AB15" s="39">
        <f t="shared" si="1"/>
        <v>0.11047856467472555</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881.87130456244381</v>
      </c>
      <c r="C48" s="37">
        <f t="shared" si="10"/>
        <v>882.12987840909898</v>
      </c>
      <c r="D48" s="37">
        <f t="shared" si="10"/>
        <v>875.61391452231976</v>
      </c>
      <c r="E48" s="37">
        <f t="shared" si="10"/>
        <v>869.19131989427376</v>
      </c>
      <c r="F48" s="37">
        <f t="shared" si="10"/>
        <v>862.67921081477004</v>
      </c>
      <c r="G48" s="37">
        <f t="shared" si="10"/>
        <v>856.07881184736414</v>
      </c>
      <c r="H48" s="37">
        <f t="shared" si="10"/>
        <v>849.39571669090458</v>
      </c>
      <c r="I48" s="37">
        <f t="shared" si="10"/>
        <v>848.81359115356906</v>
      </c>
      <c r="J48" s="37">
        <f t="shared" si="10"/>
        <v>847.54711440664403</v>
      </c>
      <c r="K48" s="37">
        <f t="shared" si="10"/>
        <v>846.32972222730609</v>
      </c>
      <c r="L48" s="37">
        <f t="shared" si="10"/>
        <v>844.48392010357736</v>
      </c>
      <c r="M48" s="37">
        <f t="shared" si="10"/>
        <v>842.68866860762182</v>
      </c>
      <c r="N48" s="37">
        <f t="shared" si="10"/>
        <v>841.04797914663891</v>
      </c>
      <c r="O48" s="37">
        <f t="shared" si="10"/>
        <v>838.16817375174094</v>
      </c>
      <c r="P48" s="37">
        <f t="shared" si="10"/>
        <v>835.53440973200816</v>
      </c>
      <c r="Q48" s="37">
        <f t="shared" si="10"/>
        <v>832.23791753923047</v>
      </c>
      <c r="R48" s="37">
        <f t="shared" si="10"/>
        <v>828.77430590004144</v>
      </c>
      <c r="S48" s="37">
        <f t="shared" si="10"/>
        <v>824.82513662805002</v>
      </c>
      <c r="T48" s="37">
        <f t="shared" si="10"/>
        <v>820.79989493148105</v>
      </c>
      <c r="U48" s="37">
        <f t="shared" si="10"/>
        <v>816.69112793997306</v>
      </c>
      <c r="V48" s="37">
        <f t="shared" si="10"/>
        <v>812.48863245178791</v>
      </c>
      <c r="W48" s="37">
        <f t="shared" si="10"/>
        <v>808.28767016551069</v>
      </c>
      <c r="X48" s="37">
        <f t="shared" si="10"/>
        <v>804.83261779033194</v>
      </c>
      <c r="Y48" s="37">
        <f t="shared" si="10"/>
        <v>801.26895690252161</v>
      </c>
      <c r="Z48" s="37">
        <f t="shared" si="10"/>
        <v>798.13296602477124</v>
      </c>
      <c r="AA48" s="37">
        <f t="shared" si="10"/>
        <v>794.98593509797865</v>
      </c>
      <c r="AB48" s="37">
        <f t="shared" si="10"/>
        <v>791.70878382639421</v>
      </c>
    </row>
    <row r="49" spans="1:28" x14ac:dyDescent="0.25">
      <c r="A49" s="4" t="s">
        <v>216</v>
      </c>
      <c r="B49" s="37">
        <f t="shared" ref="B49:AB49" si="11">B29*B15*$F$5</f>
        <v>693.79832303005855</v>
      </c>
      <c r="C49" s="37">
        <f t="shared" si="11"/>
        <v>695.45667559618175</v>
      </c>
      <c r="D49" s="37">
        <f t="shared" si="11"/>
        <v>691.86054065674182</v>
      </c>
      <c r="E49" s="37">
        <f t="shared" si="11"/>
        <v>688.24610531788244</v>
      </c>
      <c r="F49" s="37">
        <f t="shared" si="11"/>
        <v>684.52540320607591</v>
      </c>
      <c r="G49" s="37">
        <f t="shared" si="11"/>
        <v>680.88663171535234</v>
      </c>
      <c r="H49" s="37">
        <f t="shared" si="11"/>
        <v>677.24173080871753</v>
      </c>
      <c r="I49" s="37">
        <f t="shared" si="11"/>
        <v>677.77651718834557</v>
      </c>
      <c r="J49" s="37">
        <f t="shared" si="11"/>
        <v>678.6028398523523</v>
      </c>
      <c r="K49" s="37">
        <f t="shared" si="11"/>
        <v>678.84580293228771</v>
      </c>
      <c r="L49" s="37">
        <f t="shared" si="11"/>
        <v>679.26696355577906</v>
      </c>
      <c r="M49" s="37">
        <f t="shared" si="11"/>
        <v>679.09673934664193</v>
      </c>
      <c r="N49" s="37">
        <f t="shared" si="11"/>
        <v>678.42170729306997</v>
      </c>
      <c r="O49" s="37">
        <f t="shared" si="11"/>
        <v>678.21965306016318</v>
      </c>
      <c r="P49" s="37">
        <f t="shared" si="11"/>
        <v>677.01096624511536</v>
      </c>
      <c r="Q49" s="37">
        <f t="shared" si="11"/>
        <v>675.97526432933046</v>
      </c>
      <c r="R49" s="37">
        <f t="shared" si="11"/>
        <v>674.40817788318247</v>
      </c>
      <c r="S49" s="37">
        <f t="shared" si="11"/>
        <v>672.71863463644945</v>
      </c>
      <c r="T49" s="37">
        <f t="shared" si="11"/>
        <v>670.78639217340447</v>
      </c>
      <c r="U49" s="37">
        <f t="shared" si="11"/>
        <v>668.80810802027077</v>
      </c>
      <c r="V49" s="37">
        <f t="shared" si="11"/>
        <v>666.98482977349556</v>
      </c>
      <c r="W49" s="37">
        <f t="shared" si="11"/>
        <v>665.20735942318083</v>
      </c>
      <c r="X49" s="37">
        <f t="shared" si="11"/>
        <v>663.25665083202477</v>
      </c>
      <c r="Y49" s="37">
        <f t="shared" si="11"/>
        <v>661.65961341972275</v>
      </c>
      <c r="Z49" s="37">
        <f t="shared" si="11"/>
        <v>659.8782567910564</v>
      </c>
      <c r="AA49" s="37">
        <f t="shared" si="11"/>
        <v>658.33652766735088</v>
      </c>
      <c r="AB49" s="37">
        <f t="shared" si="11"/>
        <v>657.3630435079466</v>
      </c>
    </row>
    <row r="50" spans="1:28" x14ac:dyDescent="0.25">
      <c r="A50" s="4" t="s">
        <v>217</v>
      </c>
      <c r="B50" s="37">
        <f t="shared" ref="B50:AB50" si="12">B30*B15*$F$6</f>
        <v>930.29244762541282</v>
      </c>
      <c r="C50" s="37">
        <f t="shared" si="12"/>
        <v>931.45666391072359</v>
      </c>
      <c r="D50" s="37">
        <f t="shared" si="12"/>
        <v>925.66975995006828</v>
      </c>
      <c r="E50" s="37">
        <f t="shared" si="12"/>
        <v>919.79202811137429</v>
      </c>
      <c r="F50" s="37">
        <f t="shared" si="12"/>
        <v>913.92539977402896</v>
      </c>
      <c r="G50" s="37">
        <f t="shared" si="12"/>
        <v>908.16703876902284</v>
      </c>
      <c r="H50" s="37">
        <f t="shared" si="12"/>
        <v>902.14224530729166</v>
      </c>
      <c r="I50" s="37">
        <f t="shared" si="12"/>
        <v>902.39848410638933</v>
      </c>
      <c r="J50" s="37">
        <f t="shared" si="12"/>
        <v>902.17231331902224</v>
      </c>
      <c r="K50" s="37">
        <f t="shared" si="12"/>
        <v>901.52227796899376</v>
      </c>
      <c r="L50" s="37">
        <f t="shared" si="12"/>
        <v>900.34552274440637</v>
      </c>
      <c r="M50" s="37">
        <f t="shared" si="12"/>
        <v>898.63431035232031</v>
      </c>
      <c r="N50" s="37">
        <f t="shared" si="12"/>
        <v>896.37962975871585</v>
      </c>
      <c r="O50" s="37">
        <f t="shared" si="12"/>
        <v>893.26976464469465</v>
      </c>
      <c r="P50" s="37">
        <f t="shared" si="12"/>
        <v>889.6926850392091</v>
      </c>
      <c r="Q50" s="37">
        <f t="shared" si="12"/>
        <v>885.5350175858307</v>
      </c>
      <c r="R50" s="37">
        <f t="shared" si="12"/>
        <v>880.78182539278737</v>
      </c>
      <c r="S50" s="37">
        <f t="shared" si="12"/>
        <v>875.5123905469535</v>
      </c>
      <c r="T50" s="37">
        <f t="shared" si="12"/>
        <v>870.14467412791078</v>
      </c>
      <c r="U50" s="37">
        <f t="shared" si="12"/>
        <v>864.67039716970919</v>
      </c>
      <c r="V50" s="37">
        <f t="shared" si="12"/>
        <v>859.18503207366155</v>
      </c>
      <c r="W50" s="37">
        <f t="shared" si="12"/>
        <v>853.89374880905928</v>
      </c>
      <c r="X50" s="37">
        <f t="shared" si="12"/>
        <v>848.90023900768017</v>
      </c>
      <c r="Y50" s="37">
        <f t="shared" si="12"/>
        <v>843.98842397775763</v>
      </c>
      <c r="Z50" s="37">
        <f t="shared" si="12"/>
        <v>839.26221189657167</v>
      </c>
      <c r="AA50" s="37">
        <f t="shared" si="12"/>
        <v>834.94028525693705</v>
      </c>
      <c r="AB50" s="37">
        <f t="shared" si="12"/>
        <v>830.8009841893612</v>
      </c>
    </row>
    <row r="51" spans="1:28" x14ac:dyDescent="0.25">
      <c r="A51" s="4" t="s">
        <v>218</v>
      </c>
      <c r="B51" s="37">
        <f t="shared" ref="B51:AB51" si="13">B31*B15*$F$7</f>
        <v>436.86742250742822</v>
      </c>
      <c r="C51" s="37">
        <f t="shared" si="13"/>
        <v>434.38754693721984</v>
      </c>
      <c r="D51" s="37">
        <f t="shared" si="13"/>
        <v>428.69091969018655</v>
      </c>
      <c r="E51" s="37">
        <f t="shared" si="13"/>
        <v>422.84970160008214</v>
      </c>
      <c r="F51" s="37">
        <f t="shared" si="13"/>
        <v>416.86574444758793</v>
      </c>
      <c r="G51" s="37">
        <f t="shared" si="13"/>
        <v>410.92704946516346</v>
      </c>
      <c r="H51" s="37">
        <f t="shared" si="13"/>
        <v>404.75222863481548</v>
      </c>
      <c r="I51" s="37">
        <f t="shared" si="13"/>
        <v>401.41767253091137</v>
      </c>
      <c r="J51" s="37">
        <f t="shared" si="13"/>
        <v>398.03017561311202</v>
      </c>
      <c r="K51" s="37">
        <f t="shared" si="13"/>
        <v>394.57638340322973</v>
      </c>
      <c r="L51" s="37">
        <f t="shared" si="13"/>
        <v>391.25221476675495</v>
      </c>
      <c r="M51" s="37">
        <f t="shared" si="13"/>
        <v>388.16119390794597</v>
      </c>
      <c r="N51" s="37">
        <f t="shared" si="13"/>
        <v>385.01389370925119</v>
      </c>
      <c r="O51" s="37">
        <f t="shared" si="13"/>
        <v>382.10978231500167</v>
      </c>
      <c r="P51" s="37">
        <f t="shared" si="13"/>
        <v>379.15425920617434</v>
      </c>
      <c r="Q51" s="37">
        <f t="shared" si="13"/>
        <v>376.34895930926393</v>
      </c>
      <c r="R51" s="37">
        <f t="shared" si="13"/>
        <v>373.59514131308742</v>
      </c>
      <c r="S51" s="37">
        <f t="shared" si="13"/>
        <v>370.74275254201729</v>
      </c>
      <c r="T51" s="37">
        <f t="shared" si="13"/>
        <v>367.94246193739713</v>
      </c>
      <c r="U51" s="37">
        <f t="shared" si="13"/>
        <v>365.08842755533146</v>
      </c>
      <c r="V51" s="37">
        <f t="shared" si="13"/>
        <v>362.38681758226642</v>
      </c>
      <c r="W51" s="37">
        <f t="shared" si="13"/>
        <v>359.51821980159536</v>
      </c>
      <c r="X51" s="37">
        <f t="shared" si="13"/>
        <v>356.79637894793501</v>
      </c>
      <c r="Y51" s="37">
        <f t="shared" si="13"/>
        <v>354.33116091553126</v>
      </c>
      <c r="Z51" s="37">
        <f t="shared" si="13"/>
        <v>351.79839871522086</v>
      </c>
      <c r="AA51" s="37">
        <f t="shared" si="13"/>
        <v>349.41302116156504</v>
      </c>
      <c r="AB51" s="37">
        <f t="shared" si="13"/>
        <v>346.9539388596624</v>
      </c>
    </row>
    <row r="52" spans="1:28" x14ac:dyDescent="0.25">
      <c r="A52" s="4" t="s">
        <v>219</v>
      </c>
      <c r="B52" s="37">
        <f t="shared" ref="B52:AB52" si="14">B32*B15*$F$8</f>
        <v>79.55620233665617</v>
      </c>
      <c r="C52" s="37">
        <f t="shared" si="14"/>
        <v>80.46385818523126</v>
      </c>
      <c r="D52" s="37">
        <f t="shared" si="14"/>
        <v>80.769460336831216</v>
      </c>
      <c r="E52" s="37">
        <f t="shared" si="14"/>
        <v>81.177566370630046</v>
      </c>
      <c r="F52" s="37">
        <f t="shared" si="14"/>
        <v>81.595981697098438</v>
      </c>
      <c r="G52" s="37">
        <f t="shared" si="14"/>
        <v>82.025237085852936</v>
      </c>
      <c r="H52" s="37">
        <f t="shared" si="14"/>
        <v>82.466321912843355</v>
      </c>
      <c r="I52" s="37">
        <f t="shared" si="14"/>
        <v>83.481281415894017</v>
      </c>
      <c r="J52" s="37">
        <f t="shared" si="14"/>
        <v>84.511888546117419</v>
      </c>
      <c r="K52" s="37">
        <f t="shared" si="14"/>
        <v>85.747061674595969</v>
      </c>
      <c r="L52" s="37">
        <f t="shared" si="14"/>
        <v>86.806674075306333</v>
      </c>
      <c r="M52" s="37">
        <f t="shared" si="14"/>
        <v>87.881134688231626</v>
      </c>
      <c r="N52" s="37">
        <f t="shared" si="14"/>
        <v>88.971088284978293</v>
      </c>
      <c r="O52" s="37">
        <f t="shared" si="14"/>
        <v>90.077200974305754</v>
      </c>
      <c r="P52" s="37">
        <f t="shared" si="14"/>
        <v>91.100587548168633</v>
      </c>
      <c r="Q52" s="37">
        <f t="shared" si="14"/>
        <v>92.239745656598927</v>
      </c>
      <c r="R52" s="37">
        <f t="shared" si="14"/>
        <v>93.194145275701999</v>
      </c>
      <c r="S52" s="37">
        <f t="shared" si="14"/>
        <v>94.25260262044192</v>
      </c>
      <c r="T52" s="37">
        <f t="shared" si="14"/>
        <v>95.429656389117966</v>
      </c>
      <c r="U52" s="37">
        <f t="shared" si="14"/>
        <v>96.416801700165863</v>
      </c>
      <c r="V52" s="37">
        <f t="shared" si="14"/>
        <v>97.52151195616068</v>
      </c>
      <c r="W52" s="37">
        <f t="shared" si="14"/>
        <v>98.64015660656257</v>
      </c>
      <c r="X52" s="37">
        <f t="shared" si="14"/>
        <v>99.665588364885096</v>
      </c>
      <c r="Y52" s="37">
        <f t="shared" si="14"/>
        <v>100.91566726474824</v>
      </c>
      <c r="Z52" s="37">
        <f t="shared" si="14"/>
        <v>101.96303478918057</v>
      </c>
      <c r="AA52" s="37">
        <f t="shared" si="14"/>
        <v>103.0188317932361</v>
      </c>
      <c r="AB52" s="37">
        <f t="shared" si="14"/>
        <v>104.08188439903445</v>
      </c>
    </row>
    <row r="53" spans="1:28" x14ac:dyDescent="0.25">
      <c r="A53" s="4" t="s">
        <v>220</v>
      </c>
      <c r="B53" s="37">
        <f t="shared" ref="B53:AB53" si="15">B33*B15*$F$9</f>
        <v>110.17977205887226</v>
      </c>
      <c r="C53" s="37">
        <f t="shared" si="15"/>
        <v>112.00089854720089</v>
      </c>
      <c r="D53" s="37">
        <f t="shared" si="15"/>
        <v>112.76905165715326</v>
      </c>
      <c r="E53" s="37">
        <f t="shared" si="15"/>
        <v>113.69687653320251</v>
      </c>
      <c r="F53" s="37">
        <f t="shared" si="15"/>
        <v>114.56624352644228</v>
      </c>
      <c r="G53" s="37">
        <f t="shared" si="15"/>
        <v>115.30457721688654</v>
      </c>
      <c r="H53" s="37">
        <f t="shared" si="15"/>
        <v>116.35319417563169</v>
      </c>
      <c r="I53" s="37">
        <f t="shared" si="15"/>
        <v>117.91943241947368</v>
      </c>
      <c r="J53" s="37">
        <f t="shared" si="15"/>
        <v>119.58434946046701</v>
      </c>
      <c r="K53" s="37">
        <f t="shared" si="15"/>
        <v>121.046168475111</v>
      </c>
      <c r="L53" s="37">
        <f t="shared" si="15"/>
        <v>122.60340909748525</v>
      </c>
      <c r="M53" s="37">
        <f t="shared" si="15"/>
        <v>123.95374359364158</v>
      </c>
      <c r="N53" s="37">
        <f t="shared" si="15"/>
        <v>125.47707314244603</v>
      </c>
      <c r="O53" s="37">
        <f t="shared" si="15"/>
        <v>126.86796984927193</v>
      </c>
      <c r="P53" s="37">
        <f t="shared" si="15"/>
        <v>128.12348943679655</v>
      </c>
      <c r="Q53" s="37">
        <f t="shared" si="15"/>
        <v>129.24032941058684</v>
      </c>
      <c r="R53" s="37">
        <f t="shared" si="15"/>
        <v>130.37372286701608</v>
      </c>
      <c r="S53" s="37">
        <f t="shared" si="15"/>
        <v>131.42681314362082</v>
      </c>
      <c r="T53" s="37">
        <f t="shared" si="15"/>
        <v>132.17239187300606</v>
      </c>
      <c r="U53" s="37">
        <f t="shared" si="15"/>
        <v>133.09003685243718</v>
      </c>
      <c r="V53" s="37">
        <f t="shared" si="15"/>
        <v>133.85447958344389</v>
      </c>
      <c r="W53" s="37">
        <f t="shared" si="15"/>
        <v>134.62563617820504</v>
      </c>
      <c r="X53" s="37">
        <f t="shared" si="15"/>
        <v>135.56868695359597</v>
      </c>
      <c r="Y53" s="37">
        <f t="shared" si="15"/>
        <v>136.26650717259798</v>
      </c>
      <c r="Z53" s="37">
        <f t="shared" si="15"/>
        <v>137.21986863661098</v>
      </c>
      <c r="AA53" s="37">
        <f t="shared" si="15"/>
        <v>137.92067627536204</v>
      </c>
      <c r="AB53" s="37">
        <f t="shared" si="15"/>
        <v>138.87791168626728</v>
      </c>
    </row>
    <row r="54" spans="1:28" x14ac:dyDescent="0.25">
      <c r="A54" s="4" t="s">
        <v>221</v>
      </c>
      <c r="B54" s="37">
        <f t="shared" ref="B54:AB54" si="16">B34*B15*$F$10</f>
        <v>737.85531073840048</v>
      </c>
      <c r="C54" s="37">
        <f t="shared" si="16"/>
        <v>746.78013593063304</v>
      </c>
      <c r="D54" s="37">
        <f t="shared" si="16"/>
        <v>750.50881686146954</v>
      </c>
      <c r="E54" s="37">
        <f t="shared" si="16"/>
        <v>754.51838714283645</v>
      </c>
      <c r="F54" s="37">
        <f t="shared" si="16"/>
        <v>759.20561269212021</v>
      </c>
      <c r="G54" s="37">
        <f t="shared" si="16"/>
        <v>763.21866536172206</v>
      </c>
      <c r="H54" s="37">
        <f t="shared" si="16"/>
        <v>767.1476503795077</v>
      </c>
      <c r="I54" s="37">
        <f t="shared" si="16"/>
        <v>776.21797495506598</v>
      </c>
      <c r="J54" s="37">
        <f t="shared" si="16"/>
        <v>785.03367808336679</v>
      </c>
      <c r="K54" s="37">
        <f t="shared" si="16"/>
        <v>793.56430018054414</v>
      </c>
      <c r="L54" s="37">
        <f t="shared" si="16"/>
        <v>801.60684746721211</v>
      </c>
      <c r="M54" s="37">
        <f t="shared" si="16"/>
        <v>809.15327735199821</v>
      </c>
      <c r="N54" s="37">
        <f t="shared" si="16"/>
        <v>816.19454851751084</v>
      </c>
      <c r="O54" s="37">
        <f t="shared" si="16"/>
        <v>822.7213643754751</v>
      </c>
      <c r="P54" s="37">
        <f t="shared" si="16"/>
        <v>828.1027613447219</v>
      </c>
      <c r="Q54" s="37">
        <f t="shared" si="16"/>
        <v>832.9362380697039</v>
      </c>
      <c r="R54" s="37">
        <f t="shared" si="16"/>
        <v>836.57694968951853</v>
      </c>
      <c r="S54" s="37">
        <f t="shared" si="16"/>
        <v>840.15678023076157</v>
      </c>
      <c r="T54" s="37">
        <f t="shared" si="16"/>
        <v>842.92858291907908</v>
      </c>
      <c r="U54" s="37">
        <f t="shared" si="16"/>
        <v>844.86641606464809</v>
      </c>
      <c r="V54" s="37">
        <f t="shared" si="16"/>
        <v>846.8090838092254</v>
      </c>
      <c r="W54" s="37">
        <f t="shared" si="16"/>
        <v>847.65214885849946</v>
      </c>
      <c r="X54" s="37">
        <f t="shared" si="16"/>
        <v>849.56454625030415</v>
      </c>
      <c r="Y54" s="37">
        <f t="shared" si="16"/>
        <v>851.23187402361964</v>
      </c>
      <c r="Z54" s="37">
        <f t="shared" si="16"/>
        <v>852.86259077680927</v>
      </c>
      <c r="AA54" s="37">
        <f t="shared" si="16"/>
        <v>854.67212909990371</v>
      </c>
      <c r="AB54" s="37">
        <f t="shared" si="16"/>
        <v>856.88337720310449</v>
      </c>
    </row>
    <row r="55" spans="1:28" x14ac:dyDescent="0.25">
      <c r="A55" s="4" t="s">
        <v>222</v>
      </c>
      <c r="B55" s="37">
        <f t="shared" ref="B55:AB55" si="17">B35*B15*$F$11</f>
        <v>902.9966796920321</v>
      </c>
      <c r="C55" s="37">
        <f t="shared" si="17"/>
        <v>901.21724541862727</v>
      </c>
      <c r="D55" s="37">
        <f t="shared" si="17"/>
        <v>892.38749272697146</v>
      </c>
      <c r="E55" s="37">
        <f t="shared" si="17"/>
        <v>883.51189692855871</v>
      </c>
      <c r="F55" s="37">
        <f t="shared" si="17"/>
        <v>874.24729229516618</v>
      </c>
      <c r="G55" s="37">
        <f t="shared" si="17"/>
        <v>865.22121053267983</v>
      </c>
      <c r="H55" s="37">
        <f t="shared" si="17"/>
        <v>856.15982304226509</v>
      </c>
      <c r="I55" s="37">
        <f t="shared" si="17"/>
        <v>852.86908579016369</v>
      </c>
      <c r="J55" s="37">
        <f t="shared" si="17"/>
        <v>849.38326767206615</v>
      </c>
      <c r="K55" s="37">
        <f t="shared" si="17"/>
        <v>845.60034083155267</v>
      </c>
      <c r="L55" s="37">
        <f t="shared" si="17"/>
        <v>841.66283493044261</v>
      </c>
      <c r="M55" s="37">
        <f t="shared" si="17"/>
        <v>837.49918244257367</v>
      </c>
      <c r="N55" s="37">
        <f t="shared" si="17"/>
        <v>833.25397319921979</v>
      </c>
      <c r="O55" s="37">
        <f t="shared" si="17"/>
        <v>828.63374658098746</v>
      </c>
      <c r="P55" s="37">
        <f t="shared" si="17"/>
        <v>823.85471338303148</v>
      </c>
      <c r="Q55" s="37">
        <f t="shared" si="17"/>
        <v>818.91342922578326</v>
      </c>
      <c r="R55" s="37">
        <f t="shared" si="17"/>
        <v>813.88085729662339</v>
      </c>
      <c r="S55" s="37">
        <f t="shared" si="17"/>
        <v>808.42080644025896</v>
      </c>
      <c r="T55" s="37">
        <f t="shared" si="17"/>
        <v>803.01390239558327</v>
      </c>
      <c r="U55" s="37">
        <f t="shared" si="17"/>
        <v>797.81088783771349</v>
      </c>
      <c r="V55" s="37">
        <f t="shared" si="17"/>
        <v>792.65284450179604</v>
      </c>
      <c r="W55" s="37">
        <f t="shared" si="17"/>
        <v>787.92550544469759</v>
      </c>
      <c r="X55" s="37">
        <f t="shared" si="17"/>
        <v>783.23406874471061</v>
      </c>
      <c r="Y55" s="37">
        <f t="shared" si="17"/>
        <v>778.81489561283342</v>
      </c>
      <c r="Z55" s="37">
        <f t="shared" si="17"/>
        <v>774.5864163528222</v>
      </c>
      <c r="AA55" s="37">
        <f t="shared" si="17"/>
        <v>770.4645143883447</v>
      </c>
      <c r="AB55" s="37">
        <f t="shared" si="17"/>
        <v>766.52676807691216</v>
      </c>
    </row>
    <row r="57" spans="1:28" x14ac:dyDescent="0.25">
      <c r="A57" s="4" t="s">
        <v>327</v>
      </c>
    </row>
    <row r="58" spans="1:28" x14ac:dyDescent="0.25">
      <c r="A58" s="4" t="s">
        <v>215</v>
      </c>
      <c r="B58" s="37">
        <f t="shared" ref="B58:AB58" si="18">B38*B15*$F$4</f>
        <v>139841.68089555926</v>
      </c>
      <c r="C58" s="37">
        <f t="shared" si="18"/>
        <v>143513.36991114268</v>
      </c>
      <c r="D58" s="37">
        <f t="shared" si="18"/>
        <v>146106.8764476222</v>
      </c>
      <c r="E58" s="37">
        <f t="shared" si="18"/>
        <v>148708.37013432992</v>
      </c>
      <c r="F58" s="37">
        <f t="shared" si="18"/>
        <v>151330.69160762284</v>
      </c>
      <c r="G58" s="37">
        <f t="shared" si="18"/>
        <v>153978.4460941783</v>
      </c>
      <c r="H58" s="37">
        <f t="shared" si="18"/>
        <v>156641.24289942783</v>
      </c>
      <c r="I58" s="37">
        <f t="shared" si="18"/>
        <v>160387.68522157337</v>
      </c>
      <c r="J58" s="37">
        <f t="shared" si="18"/>
        <v>164144.02928839115</v>
      </c>
      <c r="K58" s="37">
        <f t="shared" si="18"/>
        <v>167906.67880567326</v>
      </c>
      <c r="L58" s="37">
        <f t="shared" si="18"/>
        <v>171660.53181246022</v>
      </c>
      <c r="M58" s="37">
        <f t="shared" si="18"/>
        <v>175401.55454945637</v>
      </c>
      <c r="N58" s="37">
        <f t="shared" si="18"/>
        <v>179110.46305721693</v>
      </c>
      <c r="O58" s="37">
        <f t="shared" si="18"/>
        <v>182778.79434880585</v>
      </c>
      <c r="P58" s="37">
        <f t="shared" si="18"/>
        <v>186381.05910262422</v>
      </c>
      <c r="Q58" s="37">
        <f t="shared" si="18"/>
        <v>189910.9987905914</v>
      </c>
      <c r="R58" s="37">
        <f t="shared" si="18"/>
        <v>193337.00312011314</v>
      </c>
      <c r="S58" s="37">
        <f t="shared" si="18"/>
        <v>196632.23643606677</v>
      </c>
      <c r="T58" s="37">
        <f t="shared" si="18"/>
        <v>199807.94660230057</v>
      </c>
      <c r="U58" s="37">
        <f t="shared" si="18"/>
        <v>202870.97044553648</v>
      </c>
      <c r="V58" s="37">
        <f t="shared" si="18"/>
        <v>205768.33182922093</v>
      </c>
      <c r="W58" s="37">
        <f t="shared" si="18"/>
        <v>208507.0446853344</v>
      </c>
      <c r="X58" s="37">
        <f t="shared" si="18"/>
        <v>211070.55633868952</v>
      </c>
      <c r="Y58" s="37">
        <f t="shared" si="18"/>
        <v>213541.37861742443</v>
      </c>
      <c r="Z58" s="37">
        <f t="shared" si="18"/>
        <v>215837.7389656876</v>
      </c>
      <c r="AA58" s="37">
        <f t="shared" si="18"/>
        <v>217967.8006632333</v>
      </c>
      <c r="AB58" s="37">
        <f t="shared" si="18"/>
        <v>219946.55479690869</v>
      </c>
    </row>
    <row r="59" spans="1:28" x14ac:dyDescent="0.25">
      <c r="A59" s="4" t="s">
        <v>216</v>
      </c>
      <c r="B59" s="37">
        <f t="shared" ref="B59:AB59" si="19">B39*B15*$F$5</f>
        <v>129654.30127330298</v>
      </c>
      <c r="C59" s="37">
        <f t="shared" si="19"/>
        <v>132713.87719242729</v>
      </c>
      <c r="D59" s="37">
        <f t="shared" si="19"/>
        <v>134783.233055185</v>
      </c>
      <c r="E59" s="37">
        <f t="shared" si="19"/>
        <v>136928.98736826889</v>
      </c>
      <c r="F59" s="37">
        <f t="shared" si="19"/>
        <v>139190.25336811223</v>
      </c>
      <c r="G59" s="37">
        <f t="shared" si="19"/>
        <v>141574.93092794949</v>
      </c>
      <c r="H59" s="37">
        <f t="shared" si="19"/>
        <v>144096.70530841965</v>
      </c>
      <c r="I59" s="37">
        <f t="shared" si="19"/>
        <v>147735.31567527333</v>
      </c>
      <c r="J59" s="37">
        <f t="shared" si="19"/>
        <v>151520.34027199502</v>
      </c>
      <c r="K59" s="37">
        <f t="shared" si="19"/>
        <v>155415.5148208765</v>
      </c>
      <c r="L59" s="37">
        <f t="shared" si="19"/>
        <v>159419.40604840341</v>
      </c>
      <c r="M59" s="37">
        <f t="shared" si="19"/>
        <v>163523.94907210581</v>
      </c>
      <c r="N59" s="37">
        <f t="shared" si="19"/>
        <v>167695.42536006126</v>
      </c>
      <c r="O59" s="37">
        <f t="shared" si="19"/>
        <v>171900.64502288107</v>
      </c>
      <c r="P59" s="37">
        <f t="shared" si="19"/>
        <v>176131.82182611694</v>
      </c>
      <c r="Q59" s="37">
        <f t="shared" si="19"/>
        <v>180339.6264962235</v>
      </c>
      <c r="R59" s="37">
        <f t="shared" si="19"/>
        <v>184508.59044318102</v>
      </c>
      <c r="S59" s="37">
        <f t="shared" si="19"/>
        <v>188578.69403159167</v>
      </c>
      <c r="T59" s="37">
        <f t="shared" si="19"/>
        <v>192557.22040458507</v>
      </c>
      <c r="U59" s="37">
        <f t="shared" si="19"/>
        <v>196422.7444360494</v>
      </c>
      <c r="V59" s="37">
        <f t="shared" si="19"/>
        <v>200126.37429383016</v>
      </c>
      <c r="W59" s="37">
        <f t="shared" si="19"/>
        <v>203622.13214158421</v>
      </c>
      <c r="X59" s="37">
        <f t="shared" si="19"/>
        <v>206914.40902968464</v>
      </c>
      <c r="Y59" s="37">
        <f t="shared" si="19"/>
        <v>210094.11392008449</v>
      </c>
      <c r="Z59" s="37">
        <f t="shared" si="19"/>
        <v>213066.18152512348</v>
      </c>
      <c r="AA59" s="37">
        <f t="shared" si="19"/>
        <v>215791.13192303752</v>
      </c>
      <c r="AB59" s="37">
        <f t="shared" si="19"/>
        <v>218265.38169309677</v>
      </c>
    </row>
    <row r="60" spans="1:28" x14ac:dyDescent="0.25">
      <c r="A60" s="4" t="s">
        <v>217</v>
      </c>
      <c r="B60" s="37">
        <f t="shared" ref="B60:AB60" si="20">B40*B15*$F$6</f>
        <v>221221.0526961025</v>
      </c>
      <c r="C60" s="37">
        <f t="shared" si="20"/>
        <v>226698.746554485</v>
      </c>
      <c r="D60" s="37">
        <f t="shared" si="20"/>
        <v>230459.89651294236</v>
      </c>
      <c r="E60" s="37">
        <f t="shared" si="20"/>
        <v>234268.73555314951</v>
      </c>
      <c r="F60" s="37">
        <f t="shared" si="20"/>
        <v>238173.66404926</v>
      </c>
      <c r="G60" s="37">
        <f t="shared" si="20"/>
        <v>242176.28857844745</v>
      </c>
      <c r="H60" s="37">
        <f t="shared" si="20"/>
        <v>246286.16834544321</v>
      </c>
      <c r="I60" s="37">
        <f t="shared" si="20"/>
        <v>252174.52585216289</v>
      </c>
      <c r="J60" s="37">
        <f t="shared" si="20"/>
        <v>258169.30257936293</v>
      </c>
      <c r="K60" s="37">
        <f t="shared" si="20"/>
        <v>264225.79176169023</v>
      </c>
      <c r="L60" s="37">
        <f t="shared" si="20"/>
        <v>270330.07158264815</v>
      </c>
      <c r="M60" s="37">
        <f t="shared" si="20"/>
        <v>276471.42591169704</v>
      </c>
      <c r="N60" s="37">
        <f t="shared" si="20"/>
        <v>282598.8978418936</v>
      </c>
      <c r="O60" s="37">
        <f t="shared" si="20"/>
        <v>288682.51916633104</v>
      </c>
      <c r="P60" s="37">
        <f t="shared" si="20"/>
        <v>294682.38797518564</v>
      </c>
      <c r="Q60" s="37">
        <f t="shared" si="20"/>
        <v>300555.17238407821</v>
      </c>
      <c r="R60" s="37">
        <f t="shared" si="20"/>
        <v>306257.70973999897</v>
      </c>
      <c r="S60" s="37">
        <f t="shared" si="20"/>
        <v>311717.8977487504</v>
      </c>
      <c r="T60" s="37">
        <f t="shared" si="20"/>
        <v>316950.98439520242</v>
      </c>
      <c r="U60" s="37">
        <f t="shared" si="20"/>
        <v>321948.89008530922</v>
      </c>
      <c r="V60" s="37">
        <f t="shared" si="20"/>
        <v>326617.31844009506</v>
      </c>
      <c r="W60" s="37">
        <f t="shared" si="20"/>
        <v>330921.24330498435</v>
      </c>
      <c r="X60" s="37">
        <f t="shared" si="20"/>
        <v>334856.72648417723</v>
      </c>
      <c r="Y60" s="37">
        <f t="shared" si="20"/>
        <v>338585.26898970013</v>
      </c>
      <c r="Z60" s="37">
        <f t="shared" si="20"/>
        <v>341947.44844583044</v>
      </c>
      <c r="AA60" s="37">
        <f t="shared" si="20"/>
        <v>344911.33201842738</v>
      </c>
      <c r="AB60" s="37">
        <f t="shared" si="20"/>
        <v>347495.36513766355</v>
      </c>
    </row>
    <row r="61" spans="1:28" x14ac:dyDescent="0.25">
      <c r="A61" s="4" t="s">
        <v>218</v>
      </c>
      <c r="B61" s="37">
        <f t="shared" ref="B61:AB61" si="21">B41*B15*$F$7</f>
        <v>33774.950725465271</v>
      </c>
      <c r="C61" s="37">
        <f t="shared" si="21"/>
        <v>34555.223452132639</v>
      </c>
      <c r="D61" s="37">
        <f t="shared" si="21"/>
        <v>35079.025654174096</v>
      </c>
      <c r="E61" s="37">
        <f t="shared" si="21"/>
        <v>35608.579360206699</v>
      </c>
      <c r="F61" s="37">
        <f t="shared" si="21"/>
        <v>36155.634054263144</v>
      </c>
      <c r="G61" s="37">
        <f t="shared" si="21"/>
        <v>36721.335238997213</v>
      </c>
      <c r="H61" s="37">
        <f t="shared" si="21"/>
        <v>37304.978378656706</v>
      </c>
      <c r="I61" s="37">
        <f t="shared" si="21"/>
        <v>38164.83277721201</v>
      </c>
      <c r="J61" s="37">
        <f t="shared" si="21"/>
        <v>39048.46661905427</v>
      </c>
      <c r="K61" s="37">
        <f t="shared" si="21"/>
        <v>39953.853890068065</v>
      </c>
      <c r="L61" s="37">
        <f t="shared" si="21"/>
        <v>40881.474574120286</v>
      </c>
      <c r="M61" s="37">
        <f t="shared" si="21"/>
        <v>41829.643906330239</v>
      </c>
      <c r="N61" s="37">
        <f t="shared" si="21"/>
        <v>42800.744158822796</v>
      </c>
      <c r="O61" s="37">
        <f t="shared" si="21"/>
        <v>43784.276757896325</v>
      </c>
      <c r="P61" s="37">
        <f t="shared" si="21"/>
        <v>44785.234693466526</v>
      </c>
      <c r="Q61" s="37">
        <f t="shared" si="21"/>
        <v>45794.696670931378</v>
      </c>
      <c r="R61" s="37">
        <f t="shared" si="21"/>
        <v>46811.563149550675</v>
      </c>
      <c r="S61" s="37">
        <f t="shared" si="21"/>
        <v>47829.831457739434</v>
      </c>
      <c r="T61" s="37">
        <f t="shared" si="21"/>
        <v>48846.126783208914</v>
      </c>
      <c r="U61" s="37">
        <f t="shared" si="21"/>
        <v>49860.842492987482</v>
      </c>
      <c r="V61" s="37">
        <f t="shared" si="21"/>
        <v>50867.754260893867</v>
      </c>
      <c r="W61" s="37">
        <f t="shared" si="21"/>
        <v>51856.805882278881</v>
      </c>
      <c r="X61" s="37">
        <f t="shared" si="21"/>
        <v>52823.671720766222</v>
      </c>
      <c r="Y61" s="37">
        <f t="shared" si="21"/>
        <v>53780.894117519871</v>
      </c>
      <c r="Z61" s="37">
        <f t="shared" si="21"/>
        <v>54712.938873218198</v>
      </c>
      <c r="AA61" s="37">
        <f t="shared" si="21"/>
        <v>55618.350888562862</v>
      </c>
      <c r="AB61" s="37">
        <f t="shared" si="21"/>
        <v>56490.308728965225</v>
      </c>
    </row>
    <row r="62" spans="1:28" x14ac:dyDescent="0.25">
      <c r="A62" s="4" t="s">
        <v>219</v>
      </c>
      <c r="B62" s="37">
        <f t="shared" ref="B62:AB62" si="22">B42*B15*$F$8</f>
        <v>11259.189225701004</v>
      </c>
      <c r="C62" s="37">
        <f t="shared" si="22"/>
        <v>11615.293195113903</v>
      </c>
      <c r="D62" s="37">
        <f t="shared" si="22"/>
        <v>11894.44424092957</v>
      </c>
      <c r="E62" s="37">
        <f t="shared" si="22"/>
        <v>12192.572227522609</v>
      </c>
      <c r="F62" s="37">
        <f t="shared" si="22"/>
        <v>12513.373247965994</v>
      </c>
      <c r="G62" s="37">
        <f t="shared" si="22"/>
        <v>12856.779368305431</v>
      </c>
      <c r="H62" s="37">
        <f t="shared" si="22"/>
        <v>13223.84362242948</v>
      </c>
      <c r="I62" s="37">
        <f t="shared" si="22"/>
        <v>13707.024063280032</v>
      </c>
      <c r="J62" s="37">
        <f t="shared" si="22"/>
        <v>14212.035165203199</v>
      </c>
      <c r="K62" s="37">
        <f t="shared" si="22"/>
        <v>14736.449870270195</v>
      </c>
      <c r="L62" s="37">
        <f t="shared" si="22"/>
        <v>15284.429739543641</v>
      </c>
      <c r="M62" s="37">
        <f t="shared" si="22"/>
        <v>15853.465379078461</v>
      </c>
      <c r="N62" s="37">
        <f t="shared" si="22"/>
        <v>16441.935417451914</v>
      </c>
      <c r="O62" s="37">
        <f t="shared" si="22"/>
        <v>17047.282940577621</v>
      </c>
      <c r="P62" s="37">
        <f t="shared" si="22"/>
        <v>17668.242880480033</v>
      </c>
      <c r="Q62" s="37">
        <f t="shared" si="22"/>
        <v>18301.668925979589</v>
      </c>
      <c r="R62" s="37">
        <f t="shared" si="22"/>
        <v>18946.005852854996</v>
      </c>
      <c r="S62" s="37">
        <f t="shared" si="22"/>
        <v>19595.574610964784</v>
      </c>
      <c r="T62" s="37">
        <f t="shared" si="22"/>
        <v>20253.069874048739</v>
      </c>
      <c r="U62" s="37">
        <f t="shared" si="22"/>
        <v>20914.057396500208</v>
      </c>
      <c r="V62" s="37">
        <f t="shared" si="22"/>
        <v>21579.088220012509</v>
      </c>
      <c r="W62" s="37">
        <f t="shared" si="22"/>
        <v>22246.566120304407</v>
      </c>
      <c r="X62" s="37">
        <f t="shared" si="22"/>
        <v>22918.202877635194</v>
      </c>
      <c r="Y62" s="37">
        <f t="shared" si="22"/>
        <v>23592.327951415275</v>
      </c>
      <c r="Z62" s="37">
        <f t="shared" si="22"/>
        <v>24269.468125042513</v>
      </c>
      <c r="AA62" s="37">
        <f t="shared" si="22"/>
        <v>24949.159427264764</v>
      </c>
      <c r="AB62" s="37">
        <f t="shared" si="22"/>
        <v>25629.368887148543</v>
      </c>
    </row>
    <row r="63" spans="1:28" x14ac:dyDescent="0.25">
      <c r="A63" s="4" t="s">
        <v>220</v>
      </c>
      <c r="B63" s="37">
        <f t="shared" ref="B63:AB63" si="23">B43*B15*$F$9</f>
        <v>4858.1440600899186</v>
      </c>
      <c r="C63" s="37">
        <f t="shared" si="23"/>
        <v>5004.7795377594084</v>
      </c>
      <c r="D63" s="37">
        <f t="shared" si="23"/>
        <v>5118.9538821995629</v>
      </c>
      <c r="E63" s="37">
        <f t="shared" si="23"/>
        <v>5243.2343229587232</v>
      </c>
      <c r="F63" s="37">
        <f t="shared" si="23"/>
        <v>5369.0107540093268</v>
      </c>
      <c r="G63" s="37">
        <f t="shared" si="23"/>
        <v>5503.9793292480244</v>
      </c>
      <c r="H63" s="37">
        <f t="shared" si="23"/>
        <v>5643.2032801878568</v>
      </c>
      <c r="I63" s="37">
        <f t="shared" si="23"/>
        <v>5824.7763774502018</v>
      </c>
      <c r="J63" s="37">
        <f t="shared" si="23"/>
        <v>6011.4791697936816</v>
      </c>
      <c r="K63" s="37">
        <f t="shared" si="23"/>
        <v>6209.9237510689854</v>
      </c>
      <c r="L63" s="37">
        <f t="shared" si="23"/>
        <v>6414.3530481835569</v>
      </c>
      <c r="M63" s="37">
        <f t="shared" si="23"/>
        <v>6626.8341098099718</v>
      </c>
      <c r="N63" s="37">
        <f t="shared" si="23"/>
        <v>6844.574437720572</v>
      </c>
      <c r="O63" s="37">
        <f t="shared" si="23"/>
        <v>7068.1811766605351</v>
      </c>
      <c r="P63" s="37">
        <f t="shared" si="23"/>
        <v>7299.6014384247073</v>
      </c>
      <c r="Q63" s="37">
        <f t="shared" si="23"/>
        <v>7537.9953738854892</v>
      </c>
      <c r="R63" s="37">
        <f t="shared" si="23"/>
        <v>7782.0091059190709</v>
      </c>
      <c r="S63" s="37">
        <f t="shared" si="23"/>
        <v>8028.3213390649207</v>
      </c>
      <c r="T63" s="37">
        <f t="shared" si="23"/>
        <v>8280.1404102860306</v>
      </c>
      <c r="U63" s="37">
        <f t="shared" si="23"/>
        <v>8535.3341482626565</v>
      </c>
      <c r="V63" s="37">
        <f t="shared" si="23"/>
        <v>8791.4178661704573</v>
      </c>
      <c r="W63" s="37">
        <f t="shared" si="23"/>
        <v>9053.7394207437228</v>
      </c>
      <c r="X63" s="37">
        <f t="shared" si="23"/>
        <v>9317.9710241371049</v>
      </c>
      <c r="Y63" s="37">
        <f t="shared" si="23"/>
        <v>9586.7396736443043</v>
      </c>
      <c r="Z63" s="37">
        <f t="shared" si="23"/>
        <v>9856.3531461520251</v>
      </c>
      <c r="AA63" s="37">
        <f t="shared" si="23"/>
        <v>10128.19717153718</v>
      </c>
      <c r="AB63" s="37">
        <f t="shared" si="23"/>
        <v>10403.782019375705</v>
      </c>
    </row>
    <row r="64" spans="1:28" x14ac:dyDescent="0.25">
      <c r="A64" s="4" t="s">
        <v>221</v>
      </c>
      <c r="B64" s="37">
        <f t="shared" ref="B64:AB64" si="24">B44*B15*$F$10</f>
        <v>48042.237610665601</v>
      </c>
      <c r="C64" s="37">
        <f t="shared" si="24"/>
        <v>50129.141356926179</v>
      </c>
      <c r="D64" s="37">
        <f t="shared" si="24"/>
        <v>51886.209164061183</v>
      </c>
      <c r="E64" s="37">
        <f t="shared" si="24"/>
        <v>53690.939385453799</v>
      </c>
      <c r="F64" s="37">
        <f t="shared" si="24"/>
        <v>55544.343419478995</v>
      </c>
      <c r="G64" s="37">
        <f t="shared" si="24"/>
        <v>57453.642205104676</v>
      </c>
      <c r="H64" s="37">
        <f t="shared" si="24"/>
        <v>59438.118421114981</v>
      </c>
      <c r="I64" s="37">
        <f t="shared" si="24"/>
        <v>61915.074711137291</v>
      </c>
      <c r="J64" s="37">
        <f t="shared" si="24"/>
        <v>64478.063784221791</v>
      </c>
      <c r="K64" s="37">
        <f t="shared" si="24"/>
        <v>67143.52909777021</v>
      </c>
      <c r="L64" s="37">
        <f t="shared" si="24"/>
        <v>69924.874372091159</v>
      </c>
      <c r="M64" s="37">
        <f t="shared" si="24"/>
        <v>72807.038544010124</v>
      </c>
      <c r="N64" s="37">
        <f t="shared" si="24"/>
        <v>75810.860140349352</v>
      </c>
      <c r="O64" s="37">
        <f t="shared" si="24"/>
        <v>78925.86958678173</v>
      </c>
      <c r="P64" s="37">
        <f t="shared" si="24"/>
        <v>82150.481899403268</v>
      </c>
      <c r="Q64" s="37">
        <f t="shared" si="24"/>
        <v>85490.190893251318</v>
      </c>
      <c r="R64" s="37">
        <f t="shared" si="24"/>
        <v>88929.537706168878</v>
      </c>
      <c r="S64" s="37">
        <f t="shared" si="24"/>
        <v>92457.91907344335</v>
      </c>
      <c r="T64" s="37">
        <f t="shared" si="24"/>
        <v>96086.17022653103</v>
      </c>
      <c r="U64" s="37">
        <f t="shared" si="24"/>
        <v>99809.211271514956</v>
      </c>
      <c r="V64" s="37">
        <f t="shared" si="24"/>
        <v>103614.83012331989</v>
      </c>
      <c r="W64" s="37">
        <f t="shared" si="24"/>
        <v>107489.42737328325</v>
      </c>
      <c r="X64" s="37">
        <f t="shared" si="24"/>
        <v>111446.53917546263</v>
      </c>
      <c r="Y64" s="37">
        <f t="shared" si="24"/>
        <v>115464.2862931678</v>
      </c>
      <c r="Z64" s="37">
        <f t="shared" si="24"/>
        <v>119541.18669134832</v>
      </c>
      <c r="AA64" s="37">
        <f t="shared" si="24"/>
        <v>123650.1821832922</v>
      </c>
      <c r="AB64" s="37">
        <f t="shared" si="24"/>
        <v>127787.12292956708</v>
      </c>
    </row>
    <row r="65" spans="1:28" x14ac:dyDescent="0.25">
      <c r="A65" s="4" t="s">
        <v>222</v>
      </c>
      <c r="B65" s="37">
        <f t="shared" ref="B65:AB65" si="25">B45*B15*$F$11</f>
        <v>182655.21777776032</v>
      </c>
      <c r="C65" s="37">
        <f t="shared" si="25"/>
        <v>186896.76580169899</v>
      </c>
      <c r="D65" s="37">
        <f t="shared" si="25"/>
        <v>189722.48622393794</v>
      </c>
      <c r="E65" s="37">
        <f t="shared" si="25"/>
        <v>192594.02887383458</v>
      </c>
      <c r="F65" s="37">
        <f t="shared" si="25"/>
        <v>195549.71325500027</v>
      </c>
      <c r="G65" s="37">
        <f t="shared" si="25"/>
        <v>198596.23893184398</v>
      </c>
      <c r="H65" s="37">
        <f t="shared" si="25"/>
        <v>201729.23757444709</v>
      </c>
      <c r="I65" s="37">
        <f t="shared" si="25"/>
        <v>206318.19862999587</v>
      </c>
      <c r="J65" s="37">
        <f t="shared" si="25"/>
        <v>210992.90109884134</v>
      </c>
      <c r="K65" s="37">
        <f t="shared" si="25"/>
        <v>215717.69168029027</v>
      </c>
      <c r="L65" s="37">
        <f t="shared" si="25"/>
        <v>220475.54927534438</v>
      </c>
      <c r="M65" s="37">
        <f t="shared" si="25"/>
        <v>225262.89112530157</v>
      </c>
      <c r="N65" s="37">
        <f t="shared" si="25"/>
        <v>230032.82256417116</v>
      </c>
      <c r="O65" s="37">
        <f t="shared" si="25"/>
        <v>234758.07624901706</v>
      </c>
      <c r="P65" s="37">
        <f t="shared" si="25"/>
        <v>239414.61811685114</v>
      </c>
      <c r="Q65" s="37">
        <f t="shared" si="25"/>
        <v>243959.00955711878</v>
      </c>
      <c r="R65" s="37">
        <f t="shared" si="25"/>
        <v>248361.95424335814</v>
      </c>
      <c r="S65" s="37">
        <f t="shared" si="25"/>
        <v>252562.64838444619</v>
      </c>
      <c r="T65" s="37">
        <f t="shared" si="25"/>
        <v>256570.92741931399</v>
      </c>
      <c r="U65" s="37">
        <f t="shared" si="25"/>
        <v>260377.65181923326</v>
      </c>
      <c r="V65" s="37">
        <f t="shared" si="25"/>
        <v>263911.64167835284</v>
      </c>
      <c r="W65" s="37">
        <f t="shared" si="25"/>
        <v>267148.609560463</v>
      </c>
      <c r="X65" s="37">
        <f t="shared" si="25"/>
        <v>270074.76841099327</v>
      </c>
      <c r="Y65" s="37">
        <f t="shared" si="25"/>
        <v>272826.71327651461</v>
      </c>
      <c r="Z65" s="37">
        <f t="shared" si="25"/>
        <v>275273.68849137396</v>
      </c>
      <c r="AA65" s="37">
        <f t="shared" si="25"/>
        <v>277401.94690514909</v>
      </c>
      <c r="AB65" s="37">
        <f t="shared" si="25"/>
        <v>279221.35311308014</v>
      </c>
    </row>
    <row r="67" spans="1:28" x14ac:dyDescent="0.25">
      <c r="A67" s="4" t="s">
        <v>328</v>
      </c>
    </row>
    <row r="68" spans="1:28" x14ac:dyDescent="0.25">
      <c r="A68" s="4" t="s">
        <v>329</v>
      </c>
      <c r="B68" s="40">
        <f t="shared" ref="B68:AB68" si="26">B48+B49</f>
        <v>1575.6696275925024</v>
      </c>
      <c r="C68" s="40">
        <f t="shared" si="26"/>
        <v>1577.5865540052807</v>
      </c>
      <c r="D68" s="40">
        <f t="shared" si="26"/>
        <v>1567.4744551790616</v>
      </c>
      <c r="E68" s="40">
        <f t="shared" si="26"/>
        <v>1557.4374252121561</v>
      </c>
      <c r="F68" s="40">
        <f t="shared" si="26"/>
        <v>1547.2046140208458</v>
      </c>
      <c r="G68" s="40">
        <f t="shared" si="26"/>
        <v>1536.9654435627165</v>
      </c>
      <c r="H68" s="40">
        <f t="shared" si="26"/>
        <v>1526.6374474996221</v>
      </c>
      <c r="I68" s="40">
        <f t="shared" si="26"/>
        <v>1526.5901083419146</v>
      </c>
      <c r="J68" s="40">
        <f t="shared" si="26"/>
        <v>1526.1499542589963</v>
      </c>
      <c r="K68" s="40">
        <f t="shared" si="26"/>
        <v>1525.1755251595937</v>
      </c>
      <c r="L68" s="40">
        <f t="shared" si="26"/>
        <v>1523.7508836593565</v>
      </c>
      <c r="M68" s="40">
        <f t="shared" si="26"/>
        <v>1521.7854079542637</v>
      </c>
      <c r="N68" s="40">
        <f t="shared" si="26"/>
        <v>1519.4696864397088</v>
      </c>
      <c r="O68" s="40">
        <f t="shared" si="26"/>
        <v>1516.3878268119042</v>
      </c>
      <c r="P68" s="40">
        <f t="shared" si="26"/>
        <v>1512.5453759771235</v>
      </c>
      <c r="Q68" s="40">
        <f t="shared" si="26"/>
        <v>1508.2131818685609</v>
      </c>
      <c r="R68" s="40">
        <f t="shared" si="26"/>
        <v>1503.1824837832239</v>
      </c>
      <c r="S68" s="40">
        <f t="shared" si="26"/>
        <v>1497.5437712644994</v>
      </c>
      <c r="T68" s="40">
        <f t="shared" si="26"/>
        <v>1491.5862871048855</v>
      </c>
      <c r="U68" s="40">
        <f t="shared" si="26"/>
        <v>1485.4992359602438</v>
      </c>
      <c r="V68" s="40">
        <f t="shared" si="26"/>
        <v>1479.4734622252836</v>
      </c>
      <c r="W68" s="40">
        <f t="shared" si="26"/>
        <v>1473.4950295886915</v>
      </c>
      <c r="X68" s="40">
        <f t="shared" si="26"/>
        <v>1468.0892686223567</v>
      </c>
      <c r="Y68" s="40">
        <f t="shared" si="26"/>
        <v>1462.9285703222445</v>
      </c>
      <c r="Z68" s="40">
        <f t="shared" si="26"/>
        <v>1458.0112228158278</v>
      </c>
      <c r="AA68" s="40">
        <f t="shared" si="26"/>
        <v>1453.3224627653294</v>
      </c>
      <c r="AB68" s="40">
        <f t="shared" si="26"/>
        <v>1449.0718273343409</v>
      </c>
    </row>
    <row r="69" spans="1:28" x14ac:dyDescent="0.25">
      <c r="A69" s="4" t="s">
        <v>330</v>
      </c>
      <c r="B69" s="40">
        <f t="shared" ref="B69:AB69" si="27">B50+B51+B52+B53</f>
        <v>1556.8958445283695</v>
      </c>
      <c r="C69" s="40">
        <f t="shared" si="27"/>
        <v>1558.3089675803756</v>
      </c>
      <c r="D69" s="40">
        <f t="shared" si="27"/>
        <v>1547.8991916342393</v>
      </c>
      <c r="E69" s="40">
        <f t="shared" si="27"/>
        <v>1537.5161726152892</v>
      </c>
      <c r="F69" s="40">
        <f t="shared" si="27"/>
        <v>1526.9533694451577</v>
      </c>
      <c r="G69" s="40">
        <f t="shared" si="27"/>
        <v>1516.4239025369259</v>
      </c>
      <c r="H69" s="40">
        <f t="shared" si="27"/>
        <v>1505.7139900305822</v>
      </c>
      <c r="I69" s="40">
        <f t="shared" si="27"/>
        <v>1505.2168704726685</v>
      </c>
      <c r="J69" s="40">
        <f t="shared" si="27"/>
        <v>1504.2987269387186</v>
      </c>
      <c r="K69" s="40">
        <f t="shared" si="27"/>
        <v>1502.8918915219303</v>
      </c>
      <c r="L69" s="40">
        <f t="shared" si="27"/>
        <v>1501.0078206839528</v>
      </c>
      <c r="M69" s="40">
        <f t="shared" si="27"/>
        <v>1498.6303825421394</v>
      </c>
      <c r="N69" s="40">
        <f t="shared" si="27"/>
        <v>1495.8416848953914</v>
      </c>
      <c r="O69" s="40">
        <f t="shared" si="27"/>
        <v>1492.3247177832739</v>
      </c>
      <c r="P69" s="40">
        <f t="shared" si="27"/>
        <v>1488.0710212303486</v>
      </c>
      <c r="Q69" s="40">
        <f t="shared" si="27"/>
        <v>1483.3640519622804</v>
      </c>
      <c r="R69" s="40">
        <f t="shared" si="27"/>
        <v>1477.944834848593</v>
      </c>
      <c r="S69" s="40">
        <f t="shared" si="27"/>
        <v>1471.9345588530334</v>
      </c>
      <c r="T69" s="40">
        <f t="shared" si="27"/>
        <v>1465.689184327432</v>
      </c>
      <c r="U69" s="40">
        <f t="shared" si="27"/>
        <v>1459.2656632776436</v>
      </c>
      <c r="V69" s="40">
        <f t="shared" si="27"/>
        <v>1452.9478411955326</v>
      </c>
      <c r="W69" s="40">
        <f t="shared" si="27"/>
        <v>1446.6777613954223</v>
      </c>
      <c r="X69" s="40">
        <f t="shared" si="27"/>
        <v>1440.9308932740962</v>
      </c>
      <c r="Y69" s="40">
        <f t="shared" si="27"/>
        <v>1435.5017593306352</v>
      </c>
      <c r="Z69" s="40">
        <f t="shared" si="27"/>
        <v>1430.243514037584</v>
      </c>
      <c r="AA69" s="40">
        <f t="shared" si="27"/>
        <v>1425.2928144871003</v>
      </c>
      <c r="AB69" s="40">
        <f t="shared" si="27"/>
        <v>1420.7147191343252</v>
      </c>
    </row>
    <row r="70" spans="1:28" x14ac:dyDescent="0.25">
      <c r="A70" s="4" t="s">
        <v>331</v>
      </c>
      <c r="B70" s="40">
        <f t="shared" ref="B70:AB70" si="28">B54+B55</f>
        <v>1640.8519904304326</v>
      </c>
      <c r="C70" s="40">
        <f t="shared" si="28"/>
        <v>1647.9973813492602</v>
      </c>
      <c r="D70" s="40">
        <f t="shared" si="28"/>
        <v>1642.896309588441</v>
      </c>
      <c r="E70" s="40">
        <f t="shared" si="28"/>
        <v>1638.0302840713953</v>
      </c>
      <c r="F70" s="40">
        <f t="shared" si="28"/>
        <v>1633.4529049872863</v>
      </c>
      <c r="G70" s="40">
        <f t="shared" si="28"/>
        <v>1628.4398758944019</v>
      </c>
      <c r="H70" s="40">
        <f t="shared" si="28"/>
        <v>1623.3074734217728</v>
      </c>
      <c r="I70" s="40">
        <f t="shared" si="28"/>
        <v>1629.0870607452298</v>
      </c>
      <c r="J70" s="40">
        <f t="shared" si="28"/>
        <v>1634.4169457554331</v>
      </c>
      <c r="K70" s="40">
        <f t="shared" si="28"/>
        <v>1639.1646410120968</v>
      </c>
      <c r="L70" s="40">
        <f t="shared" si="28"/>
        <v>1643.2696823976548</v>
      </c>
      <c r="M70" s="40">
        <f t="shared" si="28"/>
        <v>1646.6524597945718</v>
      </c>
      <c r="N70" s="40">
        <f t="shared" si="28"/>
        <v>1649.4485217167307</v>
      </c>
      <c r="O70" s="40">
        <f t="shared" si="28"/>
        <v>1651.3551109564626</v>
      </c>
      <c r="P70" s="40">
        <f t="shared" si="28"/>
        <v>1651.9574747277534</v>
      </c>
      <c r="Q70" s="40">
        <f t="shared" si="28"/>
        <v>1651.8496672954871</v>
      </c>
      <c r="R70" s="40">
        <f t="shared" si="28"/>
        <v>1650.4578069861418</v>
      </c>
      <c r="S70" s="40">
        <f t="shared" si="28"/>
        <v>1648.5775866710205</v>
      </c>
      <c r="T70" s="40">
        <f t="shared" si="28"/>
        <v>1645.9424853146625</v>
      </c>
      <c r="U70" s="40">
        <f t="shared" si="28"/>
        <v>1642.6773039023615</v>
      </c>
      <c r="V70" s="40">
        <f t="shared" si="28"/>
        <v>1639.4619283110214</v>
      </c>
      <c r="W70" s="40">
        <f t="shared" si="28"/>
        <v>1635.5776543031971</v>
      </c>
      <c r="X70" s="40">
        <f t="shared" si="28"/>
        <v>1632.7986149950148</v>
      </c>
      <c r="Y70" s="40">
        <f t="shared" si="28"/>
        <v>1630.0467696364531</v>
      </c>
      <c r="Z70" s="40">
        <f t="shared" si="28"/>
        <v>1627.4490071296314</v>
      </c>
      <c r="AA70" s="40">
        <f t="shared" si="28"/>
        <v>1625.1366434882484</v>
      </c>
      <c r="AB70" s="40">
        <f t="shared" si="28"/>
        <v>1623.4101452800166</v>
      </c>
    </row>
    <row r="71" spans="1:28" x14ac:dyDescent="0.25">
      <c r="A71" s="4" t="s">
        <v>332</v>
      </c>
      <c r="B71" s="40">
        <f t="shared" ref="B71:AB71" si="29">B58+B59</f>
        <v>269495.98216886225</v>
      </c>
      <c r="C71" s="40">
        <f t="shared" si="29"/>
        <v>276227.24710356997</v>
      </c>
      <c r="D71" s="40">
        <f t="shared" si="29"/>
        <v>280890.1095028072</v>
      </c>
      <c r="E71" s="40">
        <f t="shared" si="29"/>
        <v>285637.35750259878</v>
      </c>
      <c r="F71" s="40">
        <f t="shared" si="29"/>
        <v>290520.94497573504</v>
      </c>
      <c r="G71" s="40">
        <f t="shared" si="29"/>
        <v>295553.3770221278</v>
      </c>
      <c r="H71" s="40">
        <f t="shared" si="29"/>
        <v>300737.94820784748</v>
      </c>
      <c r="I71" s="40">
        <f t="shared" si="29"/>
        <v>308123.0008968467</v>
      </c>
      <c r="J71" s="40">
        <f t="shared" si="29"/>
        <v>315664.36956038617</v>
      </c>
      <c r="K71" s="40">
        <f t="shared" si="29"/>
        <v>323322.19362654979</v>
      </c>
      <c r="L71" s="40">
        <f t="shared" si="29"/>
        <v>331079.93786086363</v>
      </c>
      <c r="M71" s="40">
        <f t="shared" si="29"/>
        <v>338925.50362156215</v>
      </c>
      <c r="N71" s="40">
        <f t="shared" si="29"/>
        <v>346805.88841727818</v>
      </c>
      <c r="O71" s="40">
        <f t="shared" si="29"/>
        <v>354679.43937168689</v>
      </c>
      <c r="P71" s="40">
        <f t="shared" si="29"/>
        <v>362512.88092874119</v>
      </c>
      <c r="Q71" s="40">
        <f t="shared" si="29"/>
        <v>370250.62528681487</v>
      </c>
      <c r="R71" s="40">
        <f t="shared" si="29"/>
        <v>377845.59356329415</v>
      </c>
      <c r="S71" s="40">
        <f t="shared" si="29"/>
        <v>385210.93046765844</v>
      </c>
      <c r="T71" s="40">
        <f t="shared" si="29"/>
        <v>392365.16700688563</v>
      </c>
      <c r="U71" s="40">
        <f t="shared" si="29"/>
        <v>399293.71488158591</v>
      </c>
      <c r="V71" s="40">
        <f t="shared" si="29"/>
        <v>405894.70612305112</v>
      </c>
      <c r="W71" s="40">
        <f t="shared" si="29"/>
        <v>412129.17682691861</v>
      </c>
      <c r="X71" s="40">
        <f t="shared" si="29"/>
        <v>417984.96536837413</v>
      </c>
      <c r="Y71" s="40">
        <f t="shared" si="29"/>
        <v>423635.49253750895</v>
      </c>
      <c r="Z71" s="40">
        <f t="shared" si="29"/>
        <v>428903.92049081111</v>
      </c>
      <c r="AA71" s="40">
        <f t="shared" si="29"/>
        <v>433758.93258627085</v>
      </c>
      <c r="AB71" s="40">
        <f t="shared" si="29"/>
        <v>438211.93649000546</v>
      </c>
    </row>
    <row r="72" spans="1:28" x14ac:dyDescent="0.25">
      <c r="A72" s="4" t="s">
        <v>333</v>
      </c>
      <c r="B72" s="40">
        <f t="shared" ref="B72:AB72" si="30">B60+B61+B62+B63</f>
        <v>271113.33670735866</v>
      </c>
      <c r="C72" s="40">
        <f t="shared" si="30"/>
        <v>277874.04273949098</v>
      </c>
      <c r="D72" s="40">
        <f t="shared" si="30"/>
        <v>282552.32029024552</v>
      </c>
      <c r="E72" s="40">
        <f t="shared" si="30"/>
        <v>287313.12146383757</v>
      </c>
      <c r="F72" s="40">
        <f t="shared" si="30"/>
        <v>292211.68210549845</v>
      </c>
      <c r="G72" s="40">
        <f t="shared" si="30"/>
        <v>297258.38251499808</v>
      </c>
      <c r="H72" s="40">
        <f t="shared" si="30"/>
        <v>302458.19362671726</v>
      </c>
      <c r="I72" s="40">
        <f t="shared" si="30"/>
        <v>309871.15907010512</v>
      </c>
      <c r="J72" s="40">
        <f t="shared" si="30"/>
        <v>317441.28353341407</v>
      </c>
      <c r="K72" s="40">
        <f t="shared" si="30"/>
        <v>325126.01927309751</v>
      </c>
      <c r="L72" s="40">
        <f t="shared" si="30"/>
        <v>332910.32894449565</v>
      </c>
      <c r="M72" s="40">
        <f t="shared" si="30"/>
        <v>340781.36930691567</v>
      </c>
      <c r="N72" s="40">
        <f t="shared" si="30"/>
        <v>348686.15185588889</v>
      </c>
      <c r="O72" s="40">
        <f t="shared" si="30"/>
        <v>356582.26004146546</v>
      </c>
      <c r="P72" s="40">
        <f t="shared" si="30"/>
        <v>364435.46698755689</v>
      </c>
      <c r="Q72" s="40">
        <f t="shared" si="30"/>
        <v>372189.53335487464</v>
      </c>
      <c r="R72" s="40">
        <f t="shared" si="30"/>
        <v>379797.2878483237</v>
      </c>
      <c r="S72" s="40">
        <f t="shared" si="30"/>
        <v>387171.62515651959</v>
      </c>
      <c r="T72" s="40">
        <f t="shared" si="30"/>
        <v>394330.32146274613</v>
      </c>
      <c r="U72" s="40">
        <f t="shared" si="30"/>
        <v>401259.12412305956</v>
      </c>
      <c r="V72" s="40">
        <f t="shared" si="30"/>
        <v>407855.57878717186</v>
      </c>
      <c r="W72" s="40">
        <f t="shared" si="30"/>
        <v>414078.35472831136</v>
      </c>
      <c r="X72" s="40">
        <f t="shared" si="30"/>
        <v>419916.57210671576</v>
      </c>
      <c r="Y72" s="40">
        <f t="shared" si="30"/>
        <v>425545.23073227954</v>
      </c>
      <c r="Z72" s="40">
        <f t="shared" si="30"/>
        <v>430786.20859024319</v>
      </c>
      <c r="AA72" s="40">
        <f t="shared" si="30"/>
        <v>435607.0395057922</v>
      </c>
      <c r="AB72" s="40">
        <f t="shared" si="30"/>
        <v>440018.82477315306</v>
      </c>
    </row>
    <row r="73" spans="1:28" x14ac:dyDescent="0.25">
      <c r="A73" s="4" t="s">
        <v>334</v>
      </c>
      <c r="B73" s="40">
        <f t="shared" ref="B73:AB73" si="31">B64+B65</f>
        <v>230697.45538842591</v>
      </c>
      <c r="C73" s="40">
        <f t="shared" si="31"/>
        <v>237025.90715862517</v>
      </c>
      <c r="D73" s="40">
        <f t="shared" si="31"/>
        <v>241608.69538799912</v>
      </c>
      <c r="E73" s="40">
        <f t="shared" si="31"/>
        <v>246284.96825928838</v>
      </c>
      <c r="F73" s="40">
        <f t="shared" si="31"/>
        <v>251094.05667447927</v>
      </c>
      <c r="G73" s="40">
        <f t="shared" si="31"/>
        <v>256049.88113694865</v>
      </c>
      <c r="H73" s="40">
        <f t="shared" si="31"/>
        <v>261167.35599556207</v>
      </c>
      <c r="I73" s="40">
        <f t="shared" si="31"/>
        <v>268233.27334113314</v>
      </c>
      <c r="J73" s="40">
        <f t="shared" si="31"/>
        <v>275470.9648830631</v>
      </c>
      <c r="K73" s="40">
        <f t="shared" si="31"/>
        <v>282861.22077806049</v>
      </c>
      <c r="L73" s="40">
        <f t="shared" si="31"/>
        <v>290400.42364743556</v>
      </c>
      <c r="M73" s="40">
        <f t="shared" si="31"/>
        <v>298069.92966931168</v>
      </c>
      <c r="N73" s="40">
        <f t="shared" si="31"/>
        <v>305843.68270452053</v>
      </c>
      <c r="O73" s="40">
        <f t="shared" si="31"/>
        <v>313683.9458357988</v>
      </c>
      <c r="P73" s="40">
        <f t="shared" si="31"/>
        <v>321565.10001625441</v>
      </c>
      <c r="Q73" s="40">
        <f t="shared" si="31"/>
        <v>329449.20045037009</v>
      </c>
      <c r="R73" s="40">
        <f t="shared" si="31"/>
        <v>337291.491949527</v>
      </c>
      <c r="S73" s="40">
        <f t="shared" si="31"/>
        <v>345020.56745788956</v>
      </c>
      <c r="T73" s="40">
        <f t="shared" si="31"/>
        <v>352657.09764584503</v>
      </c>
      <c r="U73" s="40">
        <f t="shared" si="31"/>
        <v>360186.8630907482</v>
      </c>
      <c r="V73" s="40">
        <f t="shared" si="31"/>
        <v>367526.47180167271</v>
      </c>
      <c r="W73" s="40">
        <f t="shared" si="31"/>
        <v>374638.03693374625</v>
      </c>
      <c r="X73" s="40">
        <f t="shared" si="31"/>
        <v>381521.30758645589</v>
      </c>
      <c r="Y73" s="40">
        <f t="shared" si="31"/>
        <v>388290.9995696824</v>
      </c>
      <c r="Z73" s="40">
        <f t="shared" si="31"/>
        <v>394814.87518272229</v>
      </c>
      <c r="AA73" s="40">
        <f t="shared" si="31"/>
        <v>401052.12908844126</v>
      </c>
      <c r="AB73" s="40">
        <f t="shared" si="31"/>
        <v>407008.47604264721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881.87130456244381</v>
      </c>
      <c r="C2" s="37">
        <f>BDbDT_calcs!C48</f>
        <v>882.12987840909898</v>
      </c>
      <c r="D2" s="37">
        <f>BDbDT_calcs!D48</f>
        <v>875.61391452231976</v>
      </c>
      <c r="E2" s="37">
        <f>BDbDT_calcs!E48</f>
        <v>869.19131989427376</v>
      </c>
      <c r="F2" s="37">
        <f>BDbDT_calcs!F48</f>
        <v>862.67921081477004</v>
      </c>
      <c r="G2" s="37">
        <f>BDbDT_calcs!G48</f>
        <v>856.07881184736414</v>
      </c>
      <c r="H2" s="37">
        <f>BDbDT_calcs!H48</f>
        <v>849.39571669090458</v>
      </c>
      <c r="I2" s="37">
        <f>BDbDT_calcs!I48</f>
        <v>848.81359115356906</v>
      </c>
      <c r="J2" s="37">
        <f>BDbDT_calcs!J48</f>
        <v>847.54711440664403</v>
      </c>
      <c r="K2" s="37">
        <f>BDbDT_calcs!K48</f>
        <v>846.32972222730609</v>
      </c>
      <c r="L2" s="37">
        <f>BDbDT_calcs!L48</f>
        <v>844.48392010357736</v>
      </c>
      <c r="M2" s="37">
        <f>BDbDT_calcs!M48</f>
        <v>842.68866860762182</v>
      </c>
      <c r="N2" s="37">
        <f>BDbDT_calcs!N48</f>
        <v>841.04797914663891</v>
      </c>
      <c r="O2" s="37">
        <f>BDbDT_calcs!O48</f>
        <v>838.16817375174094</v>
      </c>
      <c r="P2" s="37">
        <f>BDbDT_calcs!P48</f>
        <v>835.53440973200816</v>
      </c>
      <c r="Q2" s="37">
        <f>BDbDT_calcs!Q48</f>
        <v>832.23791753923047</v>
      </c>
      <c r="R2" s="37">
        <f>BDbDT_calcs!R48</f>
        <v>828.77430590004144</v>
      </c>
      <c r="S2" s="37">
        <f>BDbDT_calcs!S48</f>
        <v>824.82513662805002</v>
      </c>
      <c r="T2" s="37">
        <f>BDbDT_calcs!T48</f>
        <v>820.79989493148105</v>
      </c>
      <c r="U2" s="37">
        <f>BDbDT_calcs!U48</f>
        <v>816.69112793997306</v>
      </c>
      <c r="V2" s="37">
        <f>BDbDT_calcs!V48</f>
        <v>812.48863245178791</v>
      </c>
      <c r="W2" s="37">
        <f>BDbDT_calcs!W48</f>
        <v>808.28767016551069</v>
      </c>
      <c r="X2" s="37">
        <f>BDbDT_calcs!X48</f>
        <v>804.83261779033194</v>
      </c>
      <c r="Y2" s="37">
        <f>BDbDT_calcs!Y48</f>
        <v>801.26895690252161</v>
      </c>
      <c r="Z2" s="37">
        <f>BDbDT_calcs!Z48</f>
        <v>798.13296602477124</v>
      </c>
      <c r="AA2" s="37">
        <f>BDbDT_calcs!AA48</f>
        <v>794.98593509797865</v>
      </c>
      <c r="AB2" s="37">
        <f>BDbDT_calcs!AB48</f>
        <v>791.70878382639421</v>
      </c>
    </row>
    <row r="3" spans="1:28" x14ac:dyDescent="0.25">
      <c r="A3" s="4" t="s">
        <v>216</v>
      </c>
      <c r="B3" s="37">
        <f>BDbDT_calcs!B49</f>
        <v>693.79832303005855</v>
      </c>
      <c r="C3" s="37">
        <f>BDbDT_calcs!C49</f>
        <v>695.45667559618175</v>
      </c>
      <c r="D3" s="37">
        <f>BDbDT_calcs!D49</f>
        <v>691.86054065674182</v>
      </c>
      <c r="E3" s="37">
        <f>BDbDT_calcs!E49</f>
        <v>688.24610531788244</v>
      </c>
      <c r="F3" s="37">
        <f>BDbDT_calcs!F49</f>
        <v>684.52540320607591</v>
      </c>
      <c r="G3" s="37">
        <f>BDbDT_calcs!G49</f>
        <v>680.88663171535234</v>
      </c>
      <c r="H3" s="37">
        <f>BDbDT_calcs!H49</f>
        <v>677.24173080871753</v>
      </c>
      <c r="I3" s="37">
        <f>BDbDT_calcs!I49</f>
        <v>677.77651718834557</v>
      </c>
      <c r="J3" s="37">
        <f>BDbDT_calcs!J49</f>
        <v>678.6028398523523</v>
      </c>
      <c r="K3" s="37">
        <f>BDbDT_calcs!K49</f>
        <v>678.84580293228771</v>
      </c>
      <c r="L3" s="37">
        <f>BDbDT_calcs!L49</f>
        <v>679.26696355577906</v>
      </c>
      <c r="M3" s="37">
        <f>BDbDT_calcs!M49</f>
        <v>679.09673934664193</v>
      </c>
      <c r="N3" s="37">
        <f>BDbDT_calcs!N49</f>
        <v>678.42170729306997</v>
      </c>
      <c r="O3" s="37">
        <f>BDbDT_calcs!O49</f>
        <v>678.21965306016318</v>
      </c>
      <c r="P3" s="37">
        <f>BDbDT_calcs!P49</f>
        <v>677.01096624511536</v>
      </c>
      <c r="Q3" s="37">
        <f>BDbDT_calcs!Q49</f>
        <v>675.97526432933046</v>
      </c>
      <c r="R3" s="37">
        <f>BDbDT_calcs!R49</f>
        <v>674.40817788318247</v>
      </c>
      <c r="S3" s="37">
        <f>BDbDT_calcs!S49</f>
        <v>672.71863463644945</v>
      </c>
      <c r="T3" s="37">
        <f>BDbDT_calcs!T49</f>
        <v>670.78639217340447</v>
      </c>
      <c r="U3" s="37">
        <f>BDbDT_calcs!U49</f>
        <v>668.80810802027077</v>
      </c>
      <c r="V3" s="37">
        <f>BDbDT_calcs!V49</f>
        <v>666.98482977349556</v>
      </c>
      <c r="W3" s="37">
        <f>BDbDT_calcs!W49</f>
        <v>665.20735942318083</v>
      </c>
      <c r="X3" s="37">
        <f>BDbDT_calcs!X49</f>
        <v>663.25665083202477</v>
      </c>
      <c r="Y3" s="37">
        <f>BDbDT_calcs!Y49</f>
        <v>661.65961341972275</v>
      </c>
      <c r="Z3" s="37">
        <f>BDbDT_calcs!Z49</f>
        <v>659.8782567910564</v>
      </c>
      <c r="AA3" s="37">
        <f>BDbDT_calcs!AA49</f>
        <v>658.33652766735088</v>
      </c>
      <c r="AB3" s="37">
        <f>BDbDT_calcs!AB49</f>
        <v>657.3630435079466</v>
      </c>
    </row>
    <row r="4" spans="1:28" x14ac:dyDescent="0.25">
      <c r="A4" s="4" t="s">
        <v>217</v>
      </c>
      <c r="B4" s="37">
        <f>BDbDT_calcs!B50</f>
        <v>930.29244762541282</v>
      </c>
      <c r="C4" s="37">
        <f>BDbDT_calcs!C50</f>
        <v>931.45666391072359</v>
      </c>
      <c r="D4" s="37">
        <f>BDbDT_calcs!D50</f>
        <v>925.66975995006828</v>
      </c>
      <c r="E4" s="37">
        <f>BDbDT_calcs!E50</f>
        <v>919.79202811137429</v>
      </c>
      <c r="F4" s="37">
        <f>BDbDT_calcs!F50</f>
        <v>913.92539977402896</v>
      </c>
      <c r="G4" s="37">
        <f>BDbDT_calcs!G50</f>
        <v>908.16703876902284</v>
      </c>
      <c r="H4" s="37">
        <f>BDbDT_calcs!H50</f>
        <v>902.14224530729166</v>
      </c>
      <c r="I4" s="37">
        <f>BDbDT_calcs!I50</f>
        <v>902.39848410638933</v>
      </c>
      <c r="J4" s="37">
        <f>BDbDT_calcs!J50</f>
        <v>902.17231331902224</v>
      </c>
      <c r="K4" s="37">
        <f>BDbDT_calcs!K50</f>
        <v>901.52227796899376</v>
      </c>
      <c r="L4" s="37">
        <f>BDbDT_calcs!L50</f>
        <v>900.34552274440637</v>
      </c>
      <c r="M4" s="37">
        <f>BDbDT_calcs!M50</f>
        <v>898.63431035232031</v>
      </c>
      <c r="N4" s="37">
        <f>BDbDT_calcs!N50</f>
        <v>896.37962975871585</v>
      </c>
      <c r="O4" s="37">
        <f>BDbDT_calcs!O50</f>
        <v>893.26976464469465</v>
      </c>
      <c r="P4" s="37">
        <f>BDbDT_calcs!P50</f>
        <v>889.6926850392091</v>
      </c>
      <c r="Q4" s="37">
        <f>BDbDT_calcs!Q50</f>
        <v>885.5350175858307</v>
      </c>
      <c r="R4" s="37">
        <f>BDbDT_calcs!R50</f>
        <v>880.78182539278737</v>
      </c>
      <c r="S4" s="37">
        <f>BDbDT_calcs!S50</f>
        <v>875.5123905469535</v>
      </c>
      <c r="T4" s="37">
        <f>BDbDT_calcs!T50</f>
        <v>870.14467412791078</v>
      </c>
      <c r="U4" s="37">
        <f>BDbDT_calcs!U50</f>
        <v>864.67039716970919</v>
      </c>
      <c r="V4" s="37">
        <f>BDbDT_calcs!V50</f>
        <v>859.18503207366155</v>
      </c>
      <c r="W4" s="37">
        <f>BDbDT_calcs!W50</f>
        <v>853.89374880905928</v>
      </c>
      <c r="X4" s="37">
        <f>BDbDT_calcs!X50</f>
        <v>848.90023900768017</v>
      </c>
      <c r="Y4" s="37">
        <f>BDbDT_calcs!Y50</f>
        <v>843.98842397775763</v>
      </c>
      <c r="Z4" s="37">
        <f>BDbDT_calcs!Z50</f>
        <v>839.26221189657167</v>
      </c>
      <c r="AA4" s="37">
        <f>BDbDT_calcs!AA50</f>
        <v>834.94028525693705</v>
      </c>
      <c r="AB4" s="37">
        <f>BDbDT_calcs!AB50</f>
        <v>830.8009841893612</v>
      </c>
    </row>
    <row r="5" spans="1:28" x14ac:dyDescent="0.25">
      <c r="A5" s="4" t="s">
        <v>218</v>
      </c>
      <c r="B5" s="37">
        <f>BDbDT_calcs!B51</f>
        <v>436.86742250742822</v>
      </c>
      <c r="C5" s="37">
        <f>BDbDT_calcs!C51</f>
        <v>434.38754693721984</v>
      </c>
      <c r="D5" s="37">
        <f>BDbDT_calcs!D51</f>
        <v>428.69091969018655</v>
      </c>
      <c r="E5" s="37">
        <f>BDbDT_calcs!E51</f>
        <v>422.84970160008214</v>
      </c>
      <c r="F5" s="37">
        <f>BDbDT_calcs!F51</f>
        <v>416.86574444758793</v>
      </c>
      <c r="G5" s="37">
        <f>BDbDT_calcs!G51</f>
        <v>410.92704946516346</v>
      </c>
      <c r="H5" s="37">
        <f>BDbDT_calcs!H51</f>
        <v>404.75222863481548</v>
      </c>
      <c r="I5" s="37">
        <f>BDbDT_calcs!I51</f>
        <v>401.41767253091137</v>
      </c>
      <c r="J5" s="37">
        <f>BDbDT_calcs!J51</f>
        <v>398.03017561311202</v>
      </c>
      <c r="K5" s="37">
        <f>BDbDT_calcs!K51</f>
        <v>394.57638340322973</v>
      </c>
      <c r="L5" s="37">
        <f>BDbDT_calcs!L51</f>
        <v>391.25221476675495</v>
      </c>
      <c r="M5" s="37">
        <f>BDbDT_calcs!M51</f>
        <v>388.16119390794597</v>
      </c>
      <c r="N5" s="37">
        <f>BDbDT_calcs!N51</f>
        <v>385.01389370925119</v>
      </c>
      <c r="O5" s="37">
        <f>BDbDT_calcs!O51</f>
        <v>382.10978231500167</v>
      </c>
      <c r="P5" s="37">
        <f>BDbDT_calcs!P51</f>
        <v>379.15425920617434</v>
      </c>
      <c r="Q5" s="37">
        <f>BDbDT_calcs!Q51</f>
        <v>376.34895930926393</v>
      </c>
      <c r="R5" s="37">
        <f>BDbDT_calcs!R51</f>
        <v>373.59514131308742</v>
      </c>
      <c r="S5" s="37">
        <f>BDbDT_calcs!S51</f>
        <v>370.74275254201729</v>
      </c>
      <c r="T5" s="37">
        <f>BDbDT_calcs!T51</f>
        <v>367.94246193739713</v>
      </c>
      <c r="U5" s="37">
        <f>BDbDT_calcs!U51</f>
        <v>365.08842755533146</v>
      </c>
      <c r="V5" s="37">
        <f>BDbDT_calcs!V51</f>
        <v>362.38681758226642</v>
      </c>
      <c r="W5" s="37">
        <f>BDbDT_calcs!W51</f>
        <v>359.51821980159536</v>
      </c>
      <c r="X5" s="37">
        <f>BDbDT_calcs!X51</f>
        <v>356.79637894793501</v>
      </c>
      <c r="Y5" s="37">
        <f>BDbDT_calcs!Y51</f>
        <v>354.33116091553126</v>
      </c>
      <c r="Z5" s="37">
        <f>BDbDT_calcs!Z51</f>
        <v>351.79839871522086</v>
      </c>
      <c r="AA5" s="37">
        <f>BDbDT_calcs!AA51</f>
        <v>349.41302116156504</v>
      </c>
      <c r="AB5" s="37">
        <f>BDbDT_calcs!AB51</f>
        <v>346.9539388596624</v>
      </c>
    </row>
    <row r="6" spans="1:28" x14ac:dyDescent="0.25">
      <c r="A6" s="4" t="s">
        <v>219</v>
      </c>
      <c r="B6" s="37">
        <f>BDbDT_calcs!B52</f>
        <v>79.55620233665617</v>
      </c>
      <c r="C6" s="37">
        <f>BDbDT_calcs!C52</f>
        <v>80.46385818523126</v>
      </c>
      <c r="D6" s="37">
        <f>BDbDT_calcs!D52</f>
        <v>80.769460336831216</v>
      </c>
      <c r="E6" s="37">
        <f>BDbDT_calcs!E52</f>
        <v>81.177566370630046</v>
      </c>
      <c r="F6" s="37">
        <f>BDbDT_calcs!F52</f>
        <v>81.595981697098438</v>
      </c>
      <c r="G6" s="37">
        <f>BDbDT_calcs!G52</f>
        <v>82.025237085852936</v>
      </c>
      <c r="H6" s="37">
        <f>BDbDT_calcs!H52</f>
        <v>82.466321912843355</v>
      </c>
      <c r="I6" s="37">
        <f>BDbDT_calcs!I52</f>
        <v>83.481281415894017</v>
      </c>
      <c r="J6" s="37">
        <f>BDbDT_calcs!J52</f>
        <v>84.511888546117419</v>
      </c>
      <c r="K6" s="37">
        <f>BDbDT_calcs!K52</f>
        <v>85.747061674595969</v>
      </c>
      <c r="L6" s="37">
        <f>BDbDT_calcs!L52</f>
        <v>86.806674075306333</v>
      </c>
      <c r="M6" s="37">
        <f>BDbDT_calcs!M52</f>
        <v>87.881134688231626</v>
      </c>
      <c r="N6" s="37">
        <f>BDbDT_calcs!N52</f>
        <v>88.971088284978293</v>
      </c>
      <c r="O6" s="37">
        <f>BDbDT_calcs!O52</f>
        <v>90.077200974305754</v>
      </c>
      <c r="P6" s="37">
        <f>BDbDT_calcs!P52</f>
        <v>91.100587548168633</v>
      </c>
      <c r="Q6" s="37">
        <f>BDbDT_calcs!Q52</f>
        <v>92.239745656598927</v>
      </c>
      <c r="R6" s="37">
        <f>BDbDT_calcs!R52</f>
        <v>93.194145275701999</v>
      </c>
      <c r="S6" s="37">
        <f>BDbDT_calcs!S52</f>
        <v>94.25260262044192</v>
      </c>
      <c r="T6" s="37">
        <f>BDbDT_calcs!T52</f>
        <v>95.429656389117966</v>
      </c>
      <c r="U6" s="37">
        <f>BDbDT_calcs!U52</f>
        <v>96.416801700165863</v>
      </c>
      <c r="V6" s="37">
        <f>BDbDT_calcs!V52</f>
        <v>97.52151195616068</v>
      </c>
      <c r="W6" s="37">
        <f>BDbDT_calcs!W52</f>
        <v>98.64015660656257</v>
      </c>
      <c r="X6" s="37">
        <f>BDbDT_calcs!X52</f>
        <v>99.665588364885096</v>
      </c>
      <c r="Y6" s="37">
        <f>BDbDT_calcs!Y52</f>
        <v>100.91566726474824</v>
      </c>
      <c r="Z6" s="37">
        <f>BDbDT_calcs!Z52</f>
        <v>101.96303478918057</v>
      </c>
      <c r="AA6" s="37">
        <f>BDbDT_calcs!AA52</f>
        <v>103.0188317932361</v>
      </c>
      <c r="AB6" s="37">
        <f>BDbDT_calcs!AB52</f>
        <v>104.08188439903445</v>
      </c>
    </row>
    <row r="7" spans="1:28" x14ac:dyDescent="0.25">
      <c r="A7" s="4" t="s">
        <v>220</v>
      </c>
      <c r="B7" s="37">
        <f>BDbDT_calcs!B53</f>
        <v>110.17977205887226</v>
      </c>
      <c r="C7" s="37">
        <f>BDbDT_calcs!C53</f>
        <v>112.00089854720089</v>
      </c>
      <c r="D7" s="37">
        <f>BDbDT_calcs!D53</f>
        <v>112.76905165715326</v>
      </c>
      <c r="E7" s="37">
        <f>BDbDT_calcs!E53</f>
        <v>113.69687653320251</v>
      </c>
      <c r="F7" s="37">
        <f>BDbDT_calcs!F53</f>
        <v>114.56624352644228</v>
      </c>
      <c r="G7" s="37">
        <f>BDbDT_calcs!G53</f>
        <v>115.30457721688654</v>
      </c>
      <c r="H7" s="37">
        <f>BDbDT_calcs!H53</f>
        <v>116.35319417563169</v>
      </c>
      <c r="I7" s="37">
        <f>BDbDT_calcs!I53</f>
        <v>117.91943241947368</v>
      </c>
      <c r="J7" s="37">
        <f>BDbDT_calcs!J53</f>
        <v>119.58434946046701</v>
      </c>
      <c r="K7" s="37">
        <f>BDbDT_calcs!K53</f>
        <v>121.046168475111</v>
      </c>
      <c r="L7" s="37">
        <f>BDbDT_calcs!L53</f>
        <v>122.60340909748525</v>
      </c>
      <c r="M7" s="37">
        <f>BDbDT_calcs!M53</f>
        <v>123.95374359364158</v>
      </c>
      <c r="N7" s="37">
        <f>BDbDT_calcs!N53</f>
        <v>125.47707314244603</v>
      </c>
      <c r="O7" s="37">
        <f>BDbDT_calcs!O53</f>
        <v>126.86796984927193</v>
      </c>
      <c r="P7" s="37">
        <f>BDbDT_calcs!P53</f>
        <v>128.12348943679655</v>
      </c>
      <c r="Q7" s="37">
        <f>BDbDT_calcs!Q53</f>
        <v>129.24032941058684</v>
      </c>
      <c r="R7" s="37">
        <f>BDbDT_calcs!R53</f>
        <v>130.37372286701608</v>
      </c>
      <c r="S7" s="37">
        <f>BDbDT_calcs!S53</f>
        <v>131.42681314362082</v>
      </c>
      <c r="T7" s="37">
        <f>BDbDT_calcs!T53</f>
        <v>132.17239187300606</v>
      </c>
      <c r="U7" s="37">
        <f>BDbDT_calcs!U53</f>
        <v>133.09003685243718</v>
      </c>
      <c r="V7" s="37">
        <f>BDbDT_calcs!V53</f>
        <v>133.85447958344389</v>
      </c>
      <c r="W7" s="37">
        <f>BDbDT_calcs!W53</f>
        <v>134.62563617820504</v>
      </c>
      <c r="X7" s="37">
        <f>BDbDT_calcs!X53</f>
        <v>135.56868695359597</v>
      </c>
      <c r="Y7" s="37">
        <f>BDbDT_calcs!Y53</f>
        <v>136.26650717259798</v>
      </c>
      <c r="Z7" s="37">
        <f>BDbDT_calcs!Z53</f>
        <v>137.21986863661098</v>
      </c>
      <c r="AA7" s="37">
        <f>BDbDT_calcs!AA53</f>
        <v>137.92067627536204</v>
      </c>
      <c r="AB7" s="37">
        <f>BDbDT_calcs!AB53</f>
        <v>138.87791168626728</v>
      </c>
    </row>
    <row r="8" spans="1:28" x14ac:dyDescent="0.25">
      <c r="A8" s="4" t="s">
        <v>221</v>
      </c>
      <c r="B8" s="37">
        <f>BDbDT_calcs!B54</f>
        <v>737.85531073840048</v>
      </c>
      <c r="C8" s="37">
        <f>BDbDT_calcs!C54</f>
        <v>746.78013593063304</v>
      </c>
      <c r="D8" s="37">
        <f>BDbDT_calcs!D54</f>
        <v>750.50881686146954</v>
      </c>
      <c r="E8" s="37">
        <f>BDbDT_calcs!E54</f>
        <v>754.51838714283645</v>
      </c>
      <c r="F8" s="37">
        <f>BDbDT_calcs!F54</f>
        <v>759.20561269212021</v>
      </c>
      <c r="G8" s="37">
        <f>BDbDT_calcs!G54</f>
        <v>763.21866536172206</v>
      </c>
      <c r="H8" s="37">
        <f>BDbDT_calcs!H54</f>
        <v>767.1476503795077</v>
      </c>
      <c r="I8" s="37">
        <f>BDbDT_calcs!I54</f>
        <v>776.21797495506598</v>
      </c>
      <c r="J8" s="37">
        <f>BDbDT_calcs!J54</f>
        <v>785.03367808336679</v>
      </c>
      <c r="K8" s="37">
        <f>BDbDT_calcs!K54</f>
        <v>793.56430018054414</v>
      </c>
      <c r="L8" s="37">
        <f>BDbDT_calcs!L54</f>
        <v>801.60684746721211</v>
      </c>
      <c r="M8" s="37">
        <f>BDbDT_calcs!M54</f>
        <v>809.15327735199821</v>
      </c>
      <c r="N8" s="37">
        <f>BDbDT_calcs!N54</f>
        <v>816.19454851751084</v>
      </c>
      <c r="O8" s="37">
        <f>BDbDT_calcs!O54</f>
        <v>822.7213643754751</v>
      </c>
      <c r="P8" s="37">
        <f>BDbDT_calcs!P54</f>
        <v>828.1027613447219</v>
      </c>
      <c r="Q8" s="37">
        <f>BDbDT_calcs!Q54</f>
        <v>832.9362380697039</v>
      </c>
      <c r="R8" s="37">
        <f>BDbDT_calcs!R54</f>
        <v>836.57694968951853</v>
      </c>
      <c r="S8" s="37">
        <f>BDbDT_calcs!S54</f>
        <v>840.15678023076157</v>
      </c>
      <c r="T8" s="37">
        <f>BDbDT_calcs!T54</f>
        <v>842.92858291907908</v>
      </c>
      <c r="U8" s="37">
        <f>BDbDT_calcs!U54</f>
        <v>844.86641606464809</v>
      </c>
      <c r="V8" s="37">
        <f>BDbDT_calcs!V54</f>
        <v>846.8090838092254</v>
      </c>
      <c r="W8" s="37">
        <f>BDbDT_calcs!W54</f>
        <v>847.65214885849946</v>
      </c>
      <c r="X8" s="37">
        <f>BDbDT_calcs!X54</f>
        <v>849.56454625030415</v>
      </c>
      <c r="Y8" s="37">
        <f>BDbDT_calcs!Y54</f>
        <v>851.23187402361964</v>
      </c>
      <c r="Z8" s="37">
        <f>BDbDT_calcs!Z54</f>
        <v>852.86259077680927</v>
      </c>
      <c r="AA8" s="37">
        <f>BDbDT_calcs!AA54</f>
        <v>854.67212909990371</v>
      </c>
      <c r="AB8" s="37">
        <f>BDbDT_calcs!AB54</f>
        <v>856.88337720310449</v>
      </c>
    </row>
    <row r="9" spans="1:28" x14ac:dyDescent="0.25">
      <c r="A9" s="4" t="s">
        <v>222</v>
      </c>
      <c r="B9" s="37">
        <f>BDbDT_calcs!B55</f>
        <v>902.9966796920321</v>
      </c>
      <c r="C9" s="37">
        <f>BDbDT_calcs!C55</f>
        <v>901.21724541862727</v>
      </c>
      <c r="D9" s="37">
        <f>BDbDT_calcs!D55</f>
        <v>892.38749272697146</v>
      </c>
      <c r="E9" s="37">
        <f>BDbDT_calcs!E55</f>
        <v>883.51189692855871</v>
      </c>
      <c r="F9" s="37">
        <f>BDbDT_calcs!F55</f>
        <v>874.24729229516618</v>
      </c>
      <c r="G9" s="37">
        <f>BDbDT_calcs!G55</f>
        <v>865.22121053267983</v>
      </c>
      <c r="H9" s="37">
        <f>BDbDT_calcs!H55</f>
        <v>856.15982304226509</v>
      </c>
      <c r="I9" s="37">
        <f>BDbDT_calcs!I55</f>
        <v>852.86908579016369</v>
      </c>
      <c r="J9" s="37">
        <f>BDbDT_calcs!J55</f>
        <v>849.38326767206615</v>
      </c>
      <c r="K9" s="37">
        <f>BDbDT_calcs!K55</f>
        <v>845.60034083155267</v>
      </c>
      <c r="L9" s="37">
        <f>BDbDT_calcs!L55</f>
        <v>841.66283493044261</v>
      </c>
      <c r="M9" s="37">
        <f>BDbDT_calcs!M55</f>
        <v>837.49918244257367</v>
      </c>
      <c r="N9" s="37">
        <f>BDbDT_calcs!N55</f>
        <v>833.25397319921979</v>
      </c>
      <c r="O9" s="37">
        <f>BDbDT_calcs!O55</f>
        <v>828.63374658098746</v>
      </c>
      <c r="P9" s="37">
        <f>BDbDT_calcs!P55</f>
        <v>823.85471338303148</v>
      </c>
      <c r="Q9" s="37">
        <f>BDbDT_calcs!Q55</f>
        <v>818.91342922578326</v>
      </c>
      <c r="R9" s="37">
        <f>BDbDT_calcs!R55</f>
        <v>813.88085729662339</v>
      </c>
      <c r="S9" s="37">
        <f>BDbDT_calcs!S55</f>
        <v>808.42080644025896</v>
      </c>
      <c r="T9" s="37">
        <f>BDbDT_calcs!T55</f>
        <v>803.01390239558327</v>
      </c>
      <c r="U9" s="37">
        <f>BDbDT_calcs!U55</f>
        <v>797.81088783771349</v>
      </c>
      <c r="V9" s="37">
        <f>BDbDT_calcs!V55</f>
        <v>792.65284450179604</v>
      </c>
      <c r="W9" s="37">
        <f>BDbDT_calcs!W55</f>
        <v>787.92550544469759</v>
      </c>
      <c r="X9" s="37">
        <f>BDbDT_calcs!X55</f>
        <v>783.23406874471061</v>
      </c>
      <c r="Y9" s="37">
        <f>BDbDT_calcs!Y55</f>
        <v>778.81489561283342</v>
      </c>
      <c r="Z9" s="37">
        <f>BDbDT_calcs!Z55</f>
        <v>774.5864163528222</v>
      </c>
      <c r="AA9" s="37">
        <f>BDbDT_calcs!AA55</f>
        <v>770.4645143883447</v>
      </c>
      <c r="AB9" s="37">
        <f>BDbDT_calcs!AB55</f>
        <v>766.52676807691216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139841.68089555926</v>
      </c>
      <c r="C2" s="37">
        <f>BDbDT_calcs!C58</f>
        <v>143513.36991114268</v>
      </c>
      <c r="D2" s="37">
        <f>BDbDT_calcs!D58</f>
        <v>146106.8764476222</v>
      </c>
      <c r="E2" s="37">
        <f>BDbDT_calcs!E58</f>
        <v>148708.37013432992</v>
      </c>
      <c r="F2" s="37">
        <f>BDbDT_calcs!F58</f>
        <v>151330.69160762284</v>
      </c>
      <c r="G2" s="37">
        <f>BDbDT_calcs!G58</f>
        <v>153978.4460941783</v>
      </c>
      <c r="H2" s="37">
        <f>BDbDT_calcs!H58</f>
        <v>156641.24289942783</v>
      </c>
      <c r="I2" s="37">
        <f>BDbDT_calcs!I58</f>
        <v>160387.68522157337</v>
      </c>
      <c r="J2" s="37">
        <f>BDbDT_calcs!J58</f>
        <v>164144.02928839115</v>
      </c>
      <c r="K2" s="37">
        <f>BDbDT_calcs!K58</f>
        <v>167906.67880567326</v>
      </c>
      <c r="L2" s="37">
        <f>BDbDT_calcs!L58</f>
        <v>171660.53181246022</v>
      </c>
      <c r="M2" s="37">
        <f>BDbDT_calcs!M58</f>
        <v>175401.55454945637</v>
      </c>
      <c r="N2" s="37">
        <f>BDbDT_calcs!N58</f>
        <v>179110.46305721693</v>
      </c>
      <c r="O2" s="37">
        <f>BDbDT_calcs!O58</f>
        <v>182778.79434880585</v>
      </c>
      <c r="P2" s="37">
        <f>BDbDT_calcs!P58</f>
        <v>186381.05910262422</v>
      </c>
      <c r="Q2" s="37">
        <f>BDbDT_calcs!Q58</f>
        <v>189910.9987905914</v>
      </c>
      <c r="R2" s="37">
        <f>BDbDT_calcs!R58</f>
        <v>193337.00312011314</v>
      </c>
      <c r="S2" s="37">
        <f>BDbDT_calcs!S58</f>
        <v>196632.23643606677</v>
      </c>
      <c r="T2" s="37">
        <f>BDbDT_calcs!T58</f>
        <v>199807.94660230057</v>
      </c>
      <c r="U2" s="37">
        <f>BDbDT_calcs!U58</f>
        <v>202870.97044553648</v>
      </c>
      <c r="V2" s="37">
        <f>BDbDT_calcs!V58</f>
        <v>205768.33182922093</v>
      </c>
      <c r="W2" s="37">
        <f>BDbDT_calcs!W58</f>
        <v>208507.0446853344</v>
      </c>
      <c r="X2" s="37">
        <f>BDbDT_calcs!X58</f>
        <v>211070.55633868952</v>
      </c>
      <c r="Y2" s="37">
        <f>BDbDT_calcs!Y58</f>
        <v>213541.37861742443</v>
      </c>
      <c r="Z2" s="37">
        <f>BDbDT_calcs!Z58</f>
        <v>215837.7389656876</v>
      </c>
      <c r="AA2" s="37">
        <f>BDbDT_calcs!AA58</f>
        <v>217967.8006632333</v>
      </c>
      <c r="AB2" s="37">
        <f>BDbDT_calcs!AB58</f>
        <v>219946.55479690869</v>
      </c>
    </row>
    <row r="3" spans="1:28" x14ac:dyDescent="0.25">
      <c r="A3" s="4" t="s">
        <v>216</v>
      </c>
      <c r="B3" s="37">
        <f>BDbDT_calcs!B59</f>
        <v>129654.30127330298</v>
      </c>
      <c r="C3" s="37">
        <f>BDbDT_calcs!C59</f>
        <v>132713.87719242729</v>
      </c>
      <c r="D3" s="37">
        <f>BDbDT_calcs!D59</f>
        <v>134783.233055185</v>
      </c>
      <c r="E3" s="37">
        <f>BDbDT_calcs!E59</f>
        <v>136928.98736826889</v>
      </c>
      <c r="F3" s="37">
        <f>BDbDT_calcs!F59</f>
        <v>139190.25336811223</v>
      </c>
      <c r="G3" s="37">
        <f>BDbDT_calcs!G59</f>
        <v>141574.93092794949</v>
      </c>
      <c r="H3" s="37">
        <f>BDbDT_calcs!H59</f>
        <v>144096.70530841965</v>
      </c>
      <c r="I3" s="37">
        <f>BDbDT_calcs!I59</f>
        <v>147735.31567527333</v>
      </c>
      <c r="J3" s="37">
        <f>BDbDT_calcs!J59</f>
        <v>151520.34027199502</v>
      </c>
      <c r="K3" s="37">
        <f>BDbDT_calcs!K59</f>
        <v>155415.5148208765</v>
      </c>
      <c r="L3" s="37">
        <f>BDbDT_calcs!L59</f>
        <v>159419.40604840341</v>
      </c>
      <c r="M3" s="37">
        <f>BDbDT_calcs!M59</f>
        <v>163523.94907210581</v>
      </c>
      <c r="N3" s="37">
        <f>BDbDT_calcs!N59</f>
        <v>167695.42536006126</v>
      </c>
      <c r="O3" s="37">
        <f>BDbDT_calcs!O59</f>
        <v>171900.64502288107</v>
      </c>
      <c r="P3" s="37">
        <f>BDbDT_calcs!P59</f>
        <v>176131.82182611694</v>
      </c>
      <c r="Q3" s="37">
        <f>BDbDT_calcs!Q59</f>
        <v>180339.6264962235</v>
      </c>
      <c r="R3" s="37">
        <f>BDbDT_calcs!R59</f>
        <v>184508.59044318102</v>
      </c>
      <c r="S3" s="37">
        <f>BDbDT_calcs!S59</f>
        <v>188578.69403159167</v>
      </c>
      <c r="T3" s="37">
        <f>BDbDT_calcs!T59</f>
        <v>192557.22040458507</v>
      </c>
      <c r="U3" s="37">
        <f>BDbDT_calcs!U59</f>
        <v>196422.7444360494</v>
      </c>
      <c r="V3" s="37">
        <f>BDbDT_calcs!V59</f>
        <v>200126.37429383016</v>
      </c>
      <c r="W3" s="37">
        <f>BDbDT_calcs!W59</f>
        <v>203622.13214158421</v>
      </c>
      <c r="X3" s="37">
        <f>BDbDT_calcs!X59</f>
        <v>206914.40902968464</v>
      </c>
      <c r="Y3" s="37">
        <f>BDbDT_calcs!Y59</f>
        <v>210094.11392008449</v>
      </c>
      <c r="Z3" s="37">
        <f>BDbDT_calcs!Z59</f>
        <v>213066.18152512348</v>
      </c>
      <c r="AA3" s="37">
        <f>BDbDT_calcs!AA59</f>
        <v>215791.13192303752</v>
      </c>
      <c r="AB3" s="37">
        <f>BDbDT_calcs!AB59</f>
        <v>218265.38169309677</v>
      </c>
    </row>
    <row r="4" spans="1:28" x14ac:dyDescent="0.25">
      <c r="A4" s="4" t="s">
        <v>217</v>
      </c>
      <c r="B4" s="37">
        <f>BDbDT_calcs!B60</f>
        <v>221221.0526961025</v>
      </c>
      <c r="C4" s="37">
        <f>BDbDT_calcs!C60</f>
        <v>226698.746554485</v>
      </c>
      <c r="D4" s="37">
        <f>BDbDT_calcs!D60</f>
        <v>230459.89651294236</v>
      </c>
      <c r="E4" s="37">
        <f>BDbDT_calcs!E60</f>
        <v>234268.73555314951</v>
      </c>
      <c r="F4" s="37">
        <f>BDbDT_calcs!F60</f>
        <v>238173.66404926</v>
      </c>
      <c r="G4" s="37">
        <f>BDbDT_calcs!G60</f>
        <v>242176.28857844745</v>
      </c>
      <c r="H4" s="37">
        <f>BDbDT_calcs!H60</f>
        <v>246286.16834544321</v>
      </c>
      <c r="I4" s="37">
        <f>BDbDT_calcs!I60</f>
        <v>252174.52585216289</v>
      </c>
      <c r="J4" s="37">
        <f>BDbDT_calcs!J60</f>
        <v>258169.30257936293</v>
      </c>
      <c r="K4" s="37">
        <f>BDbDT_calcs!K60</f>
        <v>264225.79176169023</v>
      </c>
      <c r="L4" s="37">
        <f>BDbDT_calcs!L60</f>
        <v>270330.07158264815</v>
      </c>
      <c r="M4" s="37">
        <f>BDbDT_calcs!M60</f>
        <v>276471.42591169704</v>
      </c>
      <c r="N4" s="37">
        <f>BDbDT_calcs!N60</f>
        <v>282598.8978418936</v>
      </c>
      <c r="O4" s="37">
        <f>BDbDT_calcs!O60</f>
        <v>288682.51916633104</v>
      </c>
      <c r="P4" s="37">
        <f>BDbDT_calcs!P60</f>
        <v>294682.38797518564</v>
      </c>
      <c r="Q4" s="37">
        <f>BDbDT_calcs!Q60</f>
        <v>300555.17238407821</v>
      </c>
      <c r="R4" s="37">
        <f>BDbDT_calcs!R60</f>
        <v>306257.70973999897</v>
      </c>
      <c r="S4" s="37">
        <f>BDbDT_calcs!S60</f>
        <v>311717.8977487504</v>
      </c>
      <c r="T4" s="37">
        <f>BDbDT_calcs!T60</f>
        <v>316950.98439520242</v>
      </c>
      <c r="U4" s="37">
        <f>BDbDT_calcs!U60</f>
        <v>321948.89008530922</v>
      </c>
      <c r="V4" s="37">
        <f>BDbDT_calcs!V60</f>
        <v>326617.31844009506</v>
      </c>
      <c r="W4" s="37">
        <f>BDbDT_calcs!W60</f>
        <v>330921.24330498435</v>
      </c>
      <c r="X4" s="37">
        <f>BDbDT_calcs!X60</f>
        <v>334856.72648417723</v>
      </c>
      <c r="Y4" s="37">
        <f>BDbDT_calcs!Y60</f>
        <v>338585.26898970013</v>
      </c>
      <c r="Z4" s="37">
        <f>BDbDT_calcs!Z60</f>
        <v>341947.44844583044</v>
      </c>
      <c r="AA4" s="37">
        <f>BDbDT_calcs!AA60</f>
        <v>344911.33201842738</v>
      </c>
      <c r="AB4" s="37">
        <f>BDbDT_calcs!AB60</f>
        <v>347495.36513766355</v>
      </c>
    </row>
    <row r="5" spans="1:28" x14ac:dyDescent="0.25">
      <c r="A5" s="4" t="s">
        <v>218</v>
      </c>
      <c r="B5" s="37">
        <f>BDbDT_calcs!B61</f>
        <v>33774.950725465271</v>
      </c>
      <c r="C5" s="37">
        <f>BDbDT_calcs!C61</f>
        <v>34555.223452132639</v>
      </c>
      <c r="D5" s="37">
        <f>BDbDT_calcs!D61</f>
        <v>35079.025654174096</v>
      </c>
      <c r="E5" s="37">
        <f>BDbDT_calcs!E61</f>
        <v>35608.579360206699</v>
      </c>
      <c r="F5" s="37">
        <f>BDbDT_calcs!F61</f>
        <v>36155.634054263144</v>
      </c>
      <c r="G5" s="37">
        <f>BDbDT_calcs!G61</f>
        <v>36721.335238997213</v>
      </c>
      <c r="H5" s="37">
        <f>BDbDT_calcs!H61</f>
        <v>37304.978378656706</v>
      </c>
      <c r="I5" s="37">
        <f>BDbDT_calcs!I61</f>
        <v>38164.83277721201</v>
      </c>
      <c r="J5" s="37">
        <f>BDbDT_calcs!J61</f>
        <v>39048.46661905427</v>
      </c>
      <c r="K5" s="37">
        <f>BDbDT_calcs!K61</f>
        <v>39953.853890068065</v>
      </c>
      <c r="L5" s="37">
        <f>BDbDT_calcs!L61</f>
        <v>40881.474574120286</v>
      </c>
      <c r="M5" s="37">
        <f>BDbDT_calcs!M61</f>
        <v>41829.643906330239</v>
      </c>
      <c r="N5" s="37">
        <f>BDbDT_calcs!N61</f>
        <v>42800.744158822796</v>
      </c>
      <c r="O5" s="37">
        <f>BDbDT_calcs!O61</f>
        <v>43784.276757896325</v>
      </c>
      <c r="P5" s="37">
        <f>BDbDT_calcs!P61</f>
        <v>44785.234693466526</v>
      </c>
      <c r="Q5" s="37">
        <f>BDbDT_calcs!Q61</f>
        <v>45794.696670931378</v>
      </c>
      <c r="R5" s="37">
        <f>BDbDT_calcs!R61</f>
        <v>46811.563149550675</v>
      </c>
      <c r="S5" s="37">
        <f>BDbDT_calcs!S61</f>
        <v>47829.831457739434</v>
      </c>
      <c r="T5" s="37">
        <f>BDbDT_calcs!T61</f>
        <v>48846.126783208914</v>
      </c>
      <c r="U5" s="37">
        <f>BDbDT_calcs!U61</f>
        <v>49860.842492987482</v>
      </c>
      <c r="V5" s="37">
        <f>BDbDT_calcs!V61</f>
        <v>50867.754260893867</v>
      </c>
      <c r="W5" s="37">
        <f>BDbDT_calcs!W61</f>
        <v>51856.805882278881</v>
      </c>
      <c r="X5" s="37">
        <f>BDbDT_calcs!X61</f>
        <v>52823.671720766222</v>
      </c>
      <c r="Y5" s="37">
        <f>BDbDT_calcs!Y61</f>
        <v>53780.894117519871</v>
      </c>
      <c r="Z5" s="37">
        <f>BDbDT_calcs!Z61</f>
        <v>54712.938873218198</v>
      </c>
      <c r="AA5" s="37">
        <f>BDbDT_calcs!AA61</f>
        <v>55618.350888562862</v>
      </c>
      <c r="AB5" s="37">
        <f>BDbDT_calcs!AB61</f>
        <v>56490.308728965225</v>
      </c>
    </row>
    <row r="6" spans="1:28" x14ac:dyDescent="0.25">
      <c r="A6" s="4" t="s">
        <v>219</v>
      </c>
      <c r="B6" s="37">
        <f>BDbDT_calcs!B62</f>
        <v>11259.189225701004</v>
      </c>
      <c r="C6" s="37">
        <f>BDbDT_calcs!C62</f>
        <v>11615.293195113903</v>
      </c>
      <c r="D6" s="37">
        <f>BDbDT_calcs!D62</f>
        <v>11894.44424092957</v>
      </c>
      <c r="E6" s="37">
        <f>BDbDT_calcs!E62</f>
        <v>12192.572227522609</v>
      </c>
      <c r="F6" s="37">
        <f>BDbDT_calcs!F62</f>
        <v>12513.373247965994</v>
      </c>
      <c r="G6" s="37">
        <f>BDbDT_calcs!G62</f>
        <v>12856.779368305431</v>
      </c>
      <c r="H6" s="37">
        <f>BDbDT_calcs!H62</f>
        <v>13223.84362242948</v>
      </c>
      <c r="I6" s="37">
        <f>BDbDT_calcs!I62</f>
        <v>13707.024063280032</v>
      </c>
      <c r="J6" s="37">
        <f>BDbDT_calcs!J62</f>
        <v>14212.035165203199</v>
      </c>
      <c r="K6" s="37">
        <f>BDbDT_calcs!K62</f>
        <v>14736.449870270195</v>
      </c>
      <c r="L6" s="37">
        <f>BDbDT_calcs!L62</f>
        <v>15284.429739543641</v>
      </c>
      <c r="M6" s="37">
        <f>BDbDT_calcs!M62</f>
        <v>15853.465379078461</v>
      </c>
      <c r="N6" s="37">
        <f>BDbDT_calcs!N62</f>
        <v>16441.935417451914</v>
      </c>
      <c r="O6" s="37">
        <f>BDbDT_calcs!O62</f>
        <v>17047.282940577621</v>
      </c>
      <c r="P6" s="37">
        <f>BDbDT_calcs!P62</f>
        <v>17668.242880480033</v>
      </c>
      <c r="Q6" s="37">
        <f>BDbDT_calcs!Q62</f>
        <v>18301.668925979589</v>
      </c>
      <c r="R6" s="37">
        <f>BDbDT_calcs!R62</f>
        <v>18946.005852854996</v>
      </c>
      <c r="S6" s="37">
        <f>BDbDT_calcs!S62</f>
        <v>19595.574610964784</v>
      </c>
      <c r="T6" s="37">
        <f>BDbDT_calcs!T62</f>
        <v>20253.069874048739</v>
      </c>
      <c r="U6" s="37">
        <f>BDbDT_calcs!U62</f>
        <v>20914.057396500208</v>
      </c>
      <c r="V6" s="37">
        <f>BDbDT_calcs!V62</f>
        <v>21579.088220012509</v>
      </c>
      <c r="W6" s="37">
        <f>BDbDT_calcs!W62</f>
        <v>22246.566120304407</v>
      </c>
      <c r="X6" s="37">
        <f>BDbDT_calcs!X62</f>
        <v>22918.202877635194</v>
      </c>
      <c r="Y6" s="37">
        <f>BDbDT_calcs!Y62</f>
        <v>23592.327951415275</v>
      </c>
      <c r="Z6" s="37">
        <f>BDbDT_calcs!Z62</f>
        <v>24269.468125042513</v>
      </c>
      <c r="AA6" s="37">
        <f>BDbDT_calcs!AA62</f>
        <v>24949.159427264764</v>
      </c>
      <c r="AB6" s="37">
        <f>BDbDT_calcs!AB62</f>
        <v>25629.368887148543</v>
      </c>
    </row>
    <row r="7" spans="1:28" x14ac:dyDescent="0.25">
      <c r="A7" s="4" t="s">
        <v>220</v>
      </c>
      <c r="B7" s="37">
        <f>BDbDT_calcs!B63</f>
        <v>4858.1440600899186</v>
      </c>
      <c r="C7" s="37">
        <f>BDbDT_calcs!C63</f>
        <v>5004.7795377594084</v>
      </c>
      <c r="D7" s="37">
        <f>BDbDT_calcs!D63</f>
        <v>5118.9538821995629</v>
      </c>
      <c r="E7" s="37">
        <f>BDbDT_calcs!E63</f>
        <v>5243.2343229587232</v>
      </c>
      <c r="F7" s="37">
        <f>BDbDT_calcs!F63</f>
        <v>5369.0107540093268</v>
      </c>
      <c r="G7" s="37">
        <f>BDbDT_calcs!G63</f>
        <v>5503.9793292480244</v>
      </c>
      <c r="H7" s="37">
        <f>BDbDT_calcs!H63</f>
        <v>5643.2032801878568</v>
      </c>
      <c r="I7" s="37">
        <f>BDbDT_calcs!I63</f>
        <v>5824.7763774502018</v>
      </c>
      <c r="J7" s="37">
        <f>BDbDT_calcs!J63</f>
        <v>6011.4791697936816</v>
      </c>
      <c r="K7" s="37">
        <f>BDbDT_calcs!K63</f>
        <v>6209.9237510689854</v>
      </c>
      <c r="L7" s="37">
        <f>BDbDT_calcs!L63</f>
        <v>6414.3530481835569</v>
      </c>
      <c r="M7" s="37">
        <f>BDbDT_calcs!M63</f>
        <v>6626.8341098099718</v>
      </c>
      <c r="N7" s="37">
        <f>BDbDT_calcs!N63</f>
        <v>6844.574437720572</v>
      </c>
      <c r="O7" s="37">
        <f>BDbDT_calcs!O63</f>
        <v>7068.1811766605351</v>
      </c>
      <c r="P7" s="37">
        <f>BDbDT_calcs!P63</f>
        <v>7299.6014384247073</v>
      </c>
      <c r="Q7" s="37">
        <f>BDbDT_calcs!Q63</f>
        <v>7537.9953738854892</v>
      </c>
      <c r="R7" s="37">
        <f>BDbDT_calcs!R63</f>
        <v>7782.0091059190709</v>
      </c>
      <c r="S7" s="37">
        <f>BDbDT_calcs!S63</f>
        <v>8028.3213390649207</v>
      </c>
      <c r="T7" s="37">
        <f>BDbDT_calcs!T63</f>
        <v>8280.1404102860306</v>
      </c>
      <c r="U7" s="37">
        <f>BDbDT_calcs!U63</f>
        <v>8535.3341482626565</v>
      </c>
      <c r="V7" s="37">
        <f>BDbDT_calcs!V63</f>
        <v>8791.4178661704573</v>
      </c>
      <c r="W7" s="37">
        <f>BDbDT_calcs!W63</f>
        <v>9053.7394207437228</v>
      </c>
      <c r="X7" s="37">
        <f>BDbDT_calcs!X63</f>
        <v>9317.9710241371049</v>
      </c>
      <c r="Y7" s="37">
        <f>BDbDT_calcs!Y63</f>
        <v>9586.7396736443043</v>
      </c>
      <c r="Z7" s="37">
        <f>BDbDT_calcs!Z63</f>
        <v>9856.3531461520251</v>
      </c>
      <c r="AA7" s="37">
        <f>BDbDT_calcs!AA63</f>
        <v>10128.19717153718</v>
      </c>
      <c r="AB7" s="37">
        <f>BDbDT_calcs!AB63</f>
        <v>10403.782019375705</v>
      </c>
    </row>
    <row r="8" spans="1:28" x14ac:dyDescent="0.25">
      <c r="A8" s="4" t="s">
        <v>221</v>
      </c>
      <c r="B8" s="37">
        <f>BDbDT_calcs!B64</f>
        <v>48042.237610665601</v>
      </c>
      <c r="C8" s="37">
        <f>BDbDT_calcs!C64</f>
        <v>50129.141356926179</v>
      </c>
      <c r="D8" s="37">
        <f>BDbDT_calcs!D64</f>
        <v>51886.209164061183</v>
      </c>
      <c r="E8" s="37">
        <f>BDbDT_calcs!E64</f>
        <v>53690.939385453799</v>
      </c>
      <c r="F8" s="37">
        <f>BDbDT_calcs!F64</f>
        <v>55544.343419478995</v>
      </c>
      <c r="G8" s="37">
        <f>BDbDT_calcs!G64</f>
        <v>57453.642205104676</v>
      </c>
      <c r="H8" s="37">
        <f>BDbDT_calcs!H64</f>
        <v>59438.118421114981</v>
      </c>
      <c r="I8" s="37">
        <f>BDbDT_calcs!I64</f>
        <v>61915.074711137291</v>
      </c>
      <c r="J8" s="37">
        <f>BDbDT_calcs!J64</f>
        <v>64478.063784221791</v>
      </c>
      <c r="K8" s="37">
        <f>BDbDT_calcs!K64</f>
        <v>67143.52909777021</v>
      </c>
      <c r="L8" s="37">
        <f>BDbDT_calcs!L64</f>
        <v>69924.874372091159</v>
      </c>
      <c r="M8" s="37">
        <f>BDbDT_calcs!M64</f>
        <v>72807.038544010124</v>
      </c>
      <c r="N8" s="37">
        <f>BDbDT_calcs!N64</f>
        <v>75810.860140349352</v>
      </c>
      <c r="O8" s="37">
        <f>BDbDT_calcs!O64</f>
        <v>78925.86958678173</v>
      </c>
      <c r="P8" s="37">
        <f>BDbDT_calcs!P64</f>
        <v>82150.481899403268</v>
      </c>
      <c r="Q8" s="37">
        <f>BDbDT_calcs!Q64</f>
        <v>85490.190893251318</v>
      </c>
      <c r="R8" s="37">
        <f>BDbDT_calcs!R64</f>
        <v>88929.537706168878</v>
      </c>
      <c r="S8" s="37">
        <f>BDbDT_calcs!S64</f>
        <v>92457.91907344335</v>
      </c>
      <c r="T8" s="37">
        <f>BDbDT_calcs!T64</f>
        <v>96086.17022653103</v>
      </c>
      <c r="U8" s="37">
        <f>BDbDT_calcs!U64</f>
        <v>99809.211271514956</v>
      </c>
      <c r="V8" s="37">
        <f>BDbDT_calcs!V64</f>
        <v>103614.83012331989</v>
      </c>
      <c r="W8" s="37">
        <f>BDbDT_calcs!W64</f>
        <v>107489.42737328325</v>
      </c>
      <c r="X8" s="37">
        <f>BDbDT_calcs!X64</f>
        <v>111446.53917546263</v>
      </c>
      <c r="Y8" s="37">
        <f>BDbDT_calcs!Y64</f>
        <v>115464.2862931678</v>
      </c>
      <c r="Z8" s="37">
        <f>BDbDT_calcs!Z64</f>
        <v>119541.18669134832</v>
      </c>
      <c r="AA8" s="37">
        <f>BDbDT_calcs!AA64</f>
        <v>123650.1821832922</v>
      </c>
      <c r="AB8" s="37">
        <f>BDbDT_calcs!AB64</f>
        <v>127787.12292956708</v>
      </c>
    </row>
    <row r="9" spans="1:28" x14ac:dyDescent="0.25">
      <c r="A9" s="4" t="s">
        <v>222</v>
      </c>
      <c r="B9" s="37">
        <f>BDbDT_calcs!B65</f>
        <v>182655.21777776032</v>
      </c>
      <c r="C9" s="37">
        <f>BDbDT_calcs!C65</f>
        <v>186896.76580169899</v>
      </c>
      <c r="D9" s="37">
        <f>BDbDT_calcs!D65</f>
        <v>189722.48622393794</v>
      </c>
      <c r="E9" s="37">
        <f>BDbDT_calcs!E65</f>
        <v>192594.02887383458</v>
      </c>
      <c r="F9" s="37">
        <f>BDbDT_calcs!F65</f>
        <v>195549.71325500027</v>
      </c>
      <c r="G9" s="37">
        <f>BDbDT_calcs!G65</f>
        <v>198596.23893184398</v>
      </c>
      <c r="H9" s="37">
        <f>BDbDT_calcs!H65</f>
        <v>201729.23757444709</v>
      </c>
      <c r="I9" s="37">
        <f>BDbDT_calcs!I65</f>
        <v>206318.19862999587</v>
      </c>
      <c r="J9" s="37">
        <f>BDbDT_calcs!J65</f>
        <v>210992.90109884134</v>
      </c>
      <c r="K9" s="37">
        <f>BDbDT_calcs!K65</f>
        <v>215717.69168029027</v>
      </c>
      <c r="L9" s="37">
        <f>BDbDT_calcs!L65</f>
        <v>220475.54927534438</v>
      </c>
      <c r="M9" s="37">
        <f>BDbDT_calcs!M65</f>
        <v>225262.89112530157</v>
      </c>
      <c r="N9" s="37">
        <f>BDbDT_calcs!N65</f>
        <v>230032.82256417116</v>
      </c>
      <c r="O9" s="37">
        <f>BDbDT_calcs!O65</f>
        <v>234758.07624901706</v>
      </c>
      <c r="P9" s="37">
        <f>BDbDT_calcs!P65</f>
        <v>239414.61811685114</v>
      </c>
      <c r="Q9" s="37">
        <f>BDbDT_calcs!Q65</f>
        <v>243959.00955711878</v>
      </c>
      <c r="R9" s="37">
        <f>BDbDT_calcs!R65</f>
        <v>248361.95424335814</v>
      </c>
      <c r="S9" s="37">
        <f>BDbDT_calcs!S65</f>
        <v>252562.64838444619</v>
      </c>
      <c r="T9" s="37">
        <f>BDbDT_calcs!T65</f>
        <v>256570.92741931399</v>
      </c>
      <c r="U9" s="37">
        <f>BDbDT_calcs!U65</f>
        <v>260377.65181923326</v>
      </c>
      <c r="V9" s="37">
        <f>BDbDT_calcs!V65</f>
        <v>263911.64167835284</v>
      </c>
      <c r="W9" s="37">
        <f>BDbDT_calcs!W65</f>
        <v>267148.609560463</v>
      </c>
      <c r="X9" s="37">
        <f>BDbDT_calcs!X65</f>
        <v>270074.76841099327</v>
      </c>
      <c r="Y9" s="37">
        <f>BDbDT_calcs!Y65</f>
        <v>272826.71327651461</v>
      </c>
      <c r="Z9" s="37">
        <f>BDbDT_calcs!Z65</f>
        <v>275273.68849137396</v>
      </c>
      <c r="AA9" s="37">
        <f>BDbDT_calcs!AA65</f>
        <v>277401.94690514909</v>
      </c>
      <c r="AB9" s="37">
        <f>BDbDT_calcs!AB65</f>
        <v>279221.35311308014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2026-08-17T20:29:39Z</dcterms:modified>
</cp:coreProperties>
</file>