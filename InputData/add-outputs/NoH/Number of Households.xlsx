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TX\add-outputs\NoH\"/>
    </mc:Choice>
  </mc:AlternateContent>
  <xr:revisionPtr revIDLastSave="0" documentId="8_{603BF81D-0295-4B62-8E7B-DC08847A27EF}"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Z2" i="3"/>
  <c r="AA2" i="3"/>
  <c r="D2" i="3"/>
  <c r="E2" i="3"/>
  <c r="F2" i="3"/>
  <c r="AB2" i="3"/>
  <c r="Q2" i="3"/>
  <c r="G2" i="3"/>
  <c r="AC2" i="3"/>
  <c r="N2" i="3"/>
  <c r="H2" i="3"/>
  <c r="AD2" i="3"/>
  <c r="P2" i="3"/>
  <c r="R2" i="3"/>
  <c r="I2" i="3"/>
  <c r="AE2" i="3"/>
  <c r="J2" i="3"/>
  <c r="B2" i="3"/>
  <c r="O2" i="3"/>
  <c r="W2" i="3"/>
  <c r="K2" i="3"/>
  <c r="V2" i="3"/>
  <c r="L2" i="3"/>
  <c r="M2" i="3"/>
  <c r="X2" i="3"/>
  <c r="S2" i="3"/>
  <c r="T2" i="3"/>
  <c r="U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<sst xmlns="http://schemas.openxmlformats.org/spreadsheetml/2006/main" count="1069" uniqueCount="448">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</sst>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412</v>
      </c>
      <c r="C1" s="68">
        <v>46185</v>
      </c>
      <c r="H1" t="s">
        <v>324</v>
      </c>
      <c r="I1" t="s">
        <v>325</v>
      </c>
    </row>
    <row r="2" spans="1:9" x14ac:dyDescent="0.25">
      <c r="B2" t="str">
        <f>VLOOKUP(B1,H2:I52,2)</f>
        <v>TX</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10349800.969672026</v>
      </c>
      <c r="C2">
        <f>SUMIFS('state calcs'!C62:C112,'state calcs'!$A$62:$A$112,About!$B$2)</f>
        <v>10572426.899759017</v>
      </c>
      <c r="D2">
        <f>SUMIFS('state calcs'!D62:D112,'state calcs'!$A$62:$A$112,About!$B$2)</f>
        <v>10733403.615479447</v>
      </c>
      <c r="E2">
        <f>SUMIFS('state calcs'!E62:E112,'state calcs'!$A$62:$A$112,About!$B$2)</f>
        <v>10895045.262545886</v>
      </c>
      <c r="F2">
        <f>SUMIFS('state calcs'!F62:F112,'state calcs'!$A$62:$A$112,About!$B$2)</f>
        <v>11059454.380107285</v>
      </c>
      <c r="G2">
        <f>SUMIFS('state calcs'!G62:G112,'state calcs'!$A$62:$A$112,About!$B$2)</f>
        <v>11224070.880322097</v>
      </c>
      <c r="H2">
        <f>SUMIFS('state calcs'!H62:H112,'state calcs'!$A$62:$A$112,About!$B$2)</f>
        <v>11389688.816371066</v>
      </c>
      <c r="I2">
        <f>SUMIFS('state calcs'!I62:I112,'state calcs'!$A$62:$A$112,About!$B$2)</f>
        <v>11556519.723891988</v>
      </c>
      <c r="J2">
        <f>SUMIFS('state calcs'!J62:J112,'state calcs'!$A$62:$A$112,About!$B$2)</f>
        <v>11723019.260019138</v>
      </c>
      <c r="K2">
        <f>SUMIFS('state calcs'!K62:K112,'state calcs'!$A$62:$A$112,About!$B$2)</f>
        <v>11887276.972124938</v>
      </c>
      <c r="L2">
        <f>SUMIFS('state calcs'!L62:L112,'state calcs'!$A$62:$A$112,About!$B$2)</f>
        <v>12084124.985345572</v>
      </c>
      <c r="M2">
        <f>SUMIFS('state calcs'!M62:M112,'state calcs'!$A$62:$A$112,About!$B$2)</f>
        <v>12281158.943529908</v>
      </c>
      <c r="N2">
        <f>SUMIFS('state calcs'!N62:N112,'state calcs'!$A$62:$A$112,About!$B$2)</f>
        <v>12476873.640527366</v>
      </c>
      <c r="O2">
        <f>SUMIFS('state calcs'!O62:O112,'state calcs'!$A$62:$A$112,About!$B$2)</f>
        <v>12670288.363256056</v>
      </c>
      <c r="P2">
        <f>SUMIFS('state calcs'!P62:P112,'state calcs'!$A$62:$A$112,About!$B$2)</f>
        <v>12863165.103526255</v>
      </c>
      <c r="Q2">
        <f>SUMIFS('state calcs'!Q62:Q112,'state calcs'!$A$62:$A$112,About!$B$2)</f>
        <v>13056971.124296343</v>
      </c>
      <c r="R2">
        <f>SUMIFS('state calcs'!R62:R112,'state calcs'!$A$62:$A$112,About!$B$2)</f>
        <v>13250920.356256517</v>
      </c>
      <c r="S2">
        <f>SUMIFS('state calcs'!S62:S112,'state calcs'!$A$62:$A$112,About!$B$2)</f>
        <v>13445212.951879773</v>
      </c>
      <c r="T2">
        <f>SUMIFS('state calcs'!T62:T112,'state calcs'!$A$62:$A$112,About!$B$2)</f>
        <v>13639522.917969432</v>
      </c>
      <c r="U2">
        <f>SUMIFS('state calcs'!U62:U112,'state calcs'!$A$62:$A$112,About!$B$2)</f>
        <v>13835698.388281954</v>
      </c>
      <c r="V2">
        <f>SUMIFS('state calcs'!V62:V112,'state calcs'!$A$62:$A$112,About!$B$2)</f>
        <v>14042968.074776148</v>
      </c>
      <c r="W2">
        <f>SUMIFS('state calcs'!W62:W112,'state calcs'!$A$62:$A$112,About!$B$2)</f>
        <v>14249690.171194665</v>
      </c>
      <c r="X2">
        <f>SUMIFS('state calcs'!X62:X112,'state calcs'!$A$62:$A$112,About!$B$2)</f>
        <v>14456596.980531333</v>
      </c>
      <c r="Y2">
        <f>SUMIFS('state calcs'!Y62:Y112,'state calcs'!$A$62:$A$112,About!$B$2)</f>
        <v>14663739.081020061</v>
      </c>
      <c r="Z2">
        <f>SUMIFS('state calcs'!Z62:Z112,'state calcs'!$A$62:$A$112,About!$B$2)</f>
        <v>14871199.676964117</v>
      </c>
      <c r="AA2">
        <f>SUMIFS('state calcs'!AA62:AA112,'state calcs'!$A$62:$A$112,About!$B$2)</f>
        <v>15078582.495920476</v>
      </c>
      <c r="AB2">
        <f>SUMIFS('state calcs'!AB62:AB112,'state calcs'!$A$62:$A$112,About!$B$2)</f>
        <v>15286500.663199026</v>
      </c>
      <c r="AC2">
        <f>SUMIFS('state calcs'!AC62:AC112,'state calcs'!$A$62:$A$112,About!$B$2)</f>
        <v>15494218.58914314</v>
      </c>
      <c r="AD2">
        <f>SUMIFS('state calcs'!AD62:AD112,'state calcs'!$A$62:$A$112,About!$B$2)</f>
        <v>15701600.071468314</v>
      </c>
      <c r="AE2">
        <f>SUMIFS('state calcs'!AE62:AE112,'state calcs'!$A$62:$A$112,About!$B$2)</f>
        <v>15908925.45856004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2026-06-12T19:30:06Z</dcterms:modified>
</cp:coreProperties>
</file>