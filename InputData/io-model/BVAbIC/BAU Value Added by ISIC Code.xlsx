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alueAdded" sheetId="3" state="visible" r:id="rId3"/>
    <sheet name="2_VA_total_by_BEA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6_Calc_ISIC_aggregation" sheetId="11" state="visible" r:id="rId11"/>
    <sheet name="BVAbIC" sheetId="12" state="visible" r:id="rId12"/>
  </sheets>
  <calcPr calcId="191029" fullCalcOnLoad="1"/>
</workbook>
</file>

<file path=xl/sharedStrings.xml><?xml version="1.0" encoding="utf-8"?>
<sst xmlns="http://schemas.openxmlformats.org/spreadsheetml/2006/main" count="581" uniqueCount="581">
  <si>
    <t xml:space="preserve">BVAbIC - BAU Value Added by ISIC Code</t>
  </si>
  <si>
    <t xml:space="preserve"/>
  </si>
  <si>
    <t xml:space="preserve">State: Texas (TX)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</si>
  <si>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</si>
  <si>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</si>
  <si>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</si>
  <si>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value added by industry is computed from stateior's ValueAdded</t>
  </si>
  <si>
    <t xml:space="preserve">component, which sums V001 (Compensation of employees), V002 (Taxes on</t>
  </si>
  <si>
    <t xml:space="preserve">production and imports less subsidies), and V003 (Gross operating</t>
  </si>
  <si>
    <t xml:space="preserve">surplus) per BEA Summary industry.</t>
  </si>
  <si>
    <t xml:space="preserve">The same BEA -&gt; ISIC crosswalk and state-specific disaggregation ratios</t>
  </si>
  <si>
    <t xml:space="preserve">used for BObIC are applied here, so that VA, output, and EC all share</t>
  </si>
  <si>
    <t xml:space="preserve">a consistent 42-ISIC structure.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</si>
  <si>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</si>
  <si>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</si>
  <si>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</si>
  <si>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</si>
  <si>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</si>
  <si>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</si>
  <si>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</si>
  <si>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</si>
  <si>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</si>
  <si>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</si>
  <si>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</si>
  <si>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</si>
  <si>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</si>
  <si>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</si>
  <si>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</si>
  <si>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</si>
  <si>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</si>
  <si>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</si>
  <si>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</si>
  <si>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</si>
  <si>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</si>
  <si>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</si>
  <si>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</si>
  <si>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</si>
  <si>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</si>
  <si>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</si>
  <si>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</si>
  <si>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</si>
  <si>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</si>
  <si>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</si>
  <si>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</si>
  <si>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</si>
  <si>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</si>
  <si>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</si>
  <si>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</si>
  <si>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</si>
  <si>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</si>
  <si>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</si>
  <si>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</si>
  <si>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</si>
  <si>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</si>
  <si>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</si>
  <si>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</si>
  <si>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</si>
  <si>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</si>
  <si>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</si>
  <si>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</si>
  <si>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</si>
  <si>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</si>
  <si>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</si>
  <si>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</si>
  <si>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</si>
  <si>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</si>
  <si>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</si>
  <si>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</si>
  <si>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</si>
  <si>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</si>
  <si>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</si>
  <si>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</si>
  <si>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</si>
  <si>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</si>
  <si>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</si>
  <si>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</si>
  <si>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</si>
  <si>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</si>
  <si>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</si>
  <si>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</si>
  <si>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</si>
  <si>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</si>
  <si>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</si>
  <si>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</si>
  <si>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</si>
  <si>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</si>
  <si>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</si>
  <si>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</si>
  <si>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</si>
  <si>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</si>
  <si>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</si>
  <si>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</si>
  <si>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</si>
  <si>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</si>
  <si>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</si>
  <si>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</si>
  <si>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</si>
  <si>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</si>
  <si>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</si>
  <si>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</si>
  <si>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</si>
  <si>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 in this workbook:</t>
  </si>
  <si>
    <t xml:space="preserve">  1. About</t>
  </si>
  <si>
    <t xml:space="preserve">  2. 1_Source_ValueAdded - V001+V002+V003 x industry, raw stateior</t>
  </si>
  <si>
    <t xml:space="preserve">  3. 2_VA_total_by_BEA - sum of V001-V003 per BEA Summary code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</si>
  <si>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</si>
  <si>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</si>
  <si>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</si>
  <si>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3_Crosswalk_BEA_to_ISIC</t>
  </si>
  <si>
    <t xml:space="preserve">  8. 4_State_disagg_splits</t>
  </si>
  <si>
    <t xml:space="preserve">  9. 5_NAICS_to_ISIC_Key</t>
  </si>
  <si>
    <t xml:space="preserve">  10. 6_Calc_ISIC_aggregation</t>
  </si>
  <si>
    <t xml:space="preserve">  11. BVAbIC - final VA vector (matches BVAbIC.csv)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</si>
  <si>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</si>
  <si>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</si>
  <si>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</si>
  <si>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</si>
  <si>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</si>
  <si>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</si>
  <si>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</si>
  <si>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</si>
  <si>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</si>
  <si>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</si>
  <si>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</si>
  <si>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</si>
  <si>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</si>
  <si>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</si>
  <si>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</si>
  <si>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</si>
  <si>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</si>
  <si>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</si>
  <si>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</si>
  <si>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</si>
  <si>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</si>
  <si>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</si>
  <si>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</si>
  <si>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</si>
  <si>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</si>
  <si>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</si>
  <si>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</si>
  <si>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</si>
  <si>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</si>
  <si>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</si>
  <si>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</si>
  <si>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</si>
  <si>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</si>
  <si>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</si>
  <si>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</si>
  <si>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</si>
  <si>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</si>
  <si>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</si>
  <si>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</si>
  <si>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</si>
  <si>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</si>
  <si>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</si>
  <si>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</si>
  <si>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</si>
  <si>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</si>
  <si>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</si>
  <si>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</si>
  <si>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</si>
  <si>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</si>
  <si>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</si>
  <si>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</si>
  <si>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</si>
  <si>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</si>
  <si>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</si>
  <si>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</si>
  <si>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</si>
  <si>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</si>
  <si>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</si>
  <si>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</si>
  <si>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</si>
  <si>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</si>
  <si>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</si>
  <si>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</si>
  <si>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</si>
  <si>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</si>
  <si>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</si>
  <si>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</si>
  <si>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</si>
  <si>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</si>
  <si>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</si>
  <si>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</si>
  <si>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</si>
  <si>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</si>
  <si>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</si>
  <si>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</si>
  <si>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</si>
  <si>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</si>
  <si>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</si>
  <si>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</si>
  <si>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</si>
  <si>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</si>
  <si>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</si>
  <si>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</si>
  <si>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</si>
  <si>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</si>
  <si>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</si>
  <si>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</si>
  <si>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</si>
  <si>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</si>
  <si>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</si>
  <si>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BEA_Summary_code</t>
  </si>
  <si>
    <t xml:space="preserve">VA_USD_2019nominal (=sum of VA rows)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</si>
  <si>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</si>
  <si>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</si>
  <si>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</si>
  <si>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</si>
  <si>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</si>
  <si>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</si>
  <si>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</si>
  <si>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</si>
  <si>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</si>
  <si>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</si>
  <si>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</si>
  <si>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TX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</si>
  <si>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</si>
  <si>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</si>
  <si>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</si>
  <si>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</si>
  <si>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</si>
  <si>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</si>
  <si>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</si>
  <si>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</si>
  <si>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</si>
  <si>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</si>
  <si>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</si>
  <si>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</si>
  <si>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</si>
  <si>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</si>
  <si>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</si>
  <si>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</si>
  <si>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</si>
  <si>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</si>
  <si>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</si>
  <si>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</si>
  <si>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</si>
  <si>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</si>
  <si>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</si>
  <si>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</si>
  <si>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</si>
  <si>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</si>
  <si>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</si>
  <si>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</si>
  <si>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</si>
  <si>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</si>
  <si>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</si>
  <si>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</si>
  <si>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</si>
  <si>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</si>
  <si>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</si>
  <si>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</si>
  <si>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</si>
  <si>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</si>
  <si>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</si>
  <si>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</si>
  <si>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</si>
  <si>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</si>
  <si>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</si>
  <si>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</si>
  <si>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</si>
  <si>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</si>
  <si>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</si>
  <si>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</si>
  <si>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</si>
  <si>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</si>
  <si>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</si>
  <si>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</si>
  <si>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</si>
  <si>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</si>
  <si>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</si>
  <si>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</si>
  <si>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</si>
  <si>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</si>
  <si>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</si>
  <si>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</si>
  <si>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</si>
  <si>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</si>
  <si>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</si>
  <si>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</si>
  <si>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</si>
  <si>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</si>
  <si>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</si>
  <si>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</si>
  <si>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</si>
  <si>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</si>
  <si>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</si>
  <si>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</si>
  <si>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</si>
  <si>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</si>
  <si>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</si>
  <si>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</si>
  <si>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</si>
  <si>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</si>
  <si>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</si>
  <si>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</si>
  <si>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</si>
  <si>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</si>
  <si>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</si>
  <si>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</si>
  <si>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</si>
  <si>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</si>
  <si>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</si>
  <si>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</si>
  <si>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</si>
  <si>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</si>
  <si>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</si>
  <si>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</si>
  <si>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</si>
  <si>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</si>
  <si>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</si>
  <si>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</si>
  <si>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</si>
  <si>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</si>
  <si>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TX.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</si>
  <si>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</si>
  <si>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</si>
  <si>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</si>
  <si>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</si>
  <si>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</si>
  <si>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</si>
  <si>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</si>
  <si>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</si>
  <si>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</si>
  <si>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</si>
  <si>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</si>
  <si>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</si>
  <si>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</si>
  <si>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</si>
  <si>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</si>
  <si>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</si>
  <si>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</si>
  <si>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</si>
  <si>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</si>
  <si>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</si>
  <si>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</si>
  <si>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</si>
  <si>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</si>
  <si>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</si>
  <si>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</si>
  <si>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</si>
  <si>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</si>
  <si>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</si>
  <si>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</si>
  <si>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</si>
  <si>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</si>
  <si>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</si>
  <si>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</si>
  <si>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</si>
  <si>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</si>
  <si>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</si>
  <si>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</si>
  <si>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</si>
  <si>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</si>
  <si>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</si>
  <si>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</si>
  <si>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</si>
  <si>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</si>
  <si>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</si>
  <si>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</si>
  <si>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</si>
  <si>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</si>
  <si>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</si>
  <si>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</si>
  <si>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</si>
  <si>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</si>
  <si>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</si>
  <si>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</si>
  <si>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</si>
  <si>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</si>
  <si>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</si>
  <si>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</si>
  <si>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</si>
  <si>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</si>
  <si>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</si>
  <si>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</si>
  <si>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</si>
  <si>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</si>
  <si>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</si>
  <si>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</si>
  <si>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</si>
  <si>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</si>
  <si>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</si>
  <si>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</si>
  <si>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</si>
  <si>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</si>
  <si>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</si>
  <si>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</si>
  <si>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</si>
  <si>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</si>
  <si>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</si>
  <si>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</si>
  <si>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</si>
  <si>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</si>
  <si>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</si>
  <si>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</si>
  <si>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</si>
  <si>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</si>
  <si>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</si>
  <si>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</si>
  <si>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</si>
  <si>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</si>
  <si>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</si>
  <si>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</si>
  <si>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</si>
  <si>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</si>
  <si>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</si>
  <si>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</si>
  <si>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</si>
  <si>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</si>
  <si>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</si>
  <si>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</si>
  <si>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</si>
  <si>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</si>
  <si>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</si>
  <si>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</si>
  <si>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</si>
  <si>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</si>
  <si>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</si>
  <si>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</si>
  <si>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</si>
  <si>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</si>
  <si>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</si>
  <si>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</si>
  <si>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</si>
  <si>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</si>
  <si>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</si>
  <si>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</si>
  <si>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</si>
  <si>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</si>
  <si>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</si>
  <si>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</si>
  <si>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</si>
  <si>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</si>
  <si>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</si>
  <si>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</si>
  <si>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</si>
  <si>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</si>
  <si>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</si>
  <si>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</si>
  <si>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</si>
  <si>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</si>
  <si>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</si>
  <si>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</si>
  <si>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</si>
  <si>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</si>
  <si>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</si>
  <si>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</si>
  <si>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</si>
  <si>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</si>
  <si>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</si>
  <si>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</si>
  <si>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</si>
  <si>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</si>
  <si>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</si>
  <si>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</si>
  <si>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</si>
  <si>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</si>
  <si>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</si>
  <si>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</si>
  <si>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</si>
  <si>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</si>
  <si>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</si>
  <si>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</si>
  <si>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</si>
  <si>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</si>
  <si>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</si>
  <si>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</si>
  <si>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</si>
  <si>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</si>
  <si>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2019 $445M + USGS T3 nonfuel 2021 $5639M -&gt; coal share 0.073 (applied to stateior 212 $6794M)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</si>
  <si>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</si>
  <si>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</si>
  <si>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</si>
  <si>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</si>
  <si>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</si>
  <si>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</si>
  <si>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</si>
  <si>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</si>
  <si>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</si>
  <si>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</si>
  <si>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</si>
  <si>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</si>
  <si>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</si>
  <si>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</si>
  <si>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</si>
  <si>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</si>
  <si>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</si>
  <si>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</si>
  <si>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TX.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</si>
  <si>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</si>
  <si>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</si>
  <si>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</si>
  <si>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</si>
  <si>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</si>
  <si>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</si>
  <si>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</si>
  <si>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</si>
  <si>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</si>
  <si>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</si>
  <si>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</si>
  <si>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</si>
  <si>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</si>
  <si>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</si>
  <si>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</si>
  <si>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</si>
  <si>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</si>
  <si>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</si>
  <si>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</si>
  <si>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</si>
  <si>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</si>
  <si>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</si>
  <si>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</si>
  <si>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</si>
  <si>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</si>
  <si>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</si>
  <si>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</si>
  <si>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</si>
  <si>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</si>
  <si>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</si>
  <si>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</si>
  <si>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</si>
  <si>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</si>
  <si>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</si>
  <si>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</si>
  <si>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</si>
  <si>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</si>
  <si>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</si>
  <si>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</si>
  <si>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</si>
  <si>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</si>
  <si>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</si>
  <si>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</si>
  <si>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</si>
  <si>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</si>
  <si>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</si>
  <si>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</si>
  <si>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</si>
  <si>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</si>
  <si>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</si>
  <si>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</si>
  <si>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</si>
  <si>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</si>
  <si>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</si>
  <si>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</si>
  <si>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</si>
  <si>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</si>
  <si>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</si>
  <si>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</si>
  <si>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</si>
  <si>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</si>
  <si>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</si>
  <si>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</si>
  <si>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</si>
  <si>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</si>
  <si>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</si>
  <si>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</si>
  <si>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</si>
  <si>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</si>
  <si>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</si>
  <si>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</si>
  <si>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</si>
  <si>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</si>
  <si>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</si>
  <si>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</si>
  <si>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</si>
  <si>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</si>
  <si>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</si>
  <si>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</si>
  <si>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</si>
  <si>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</si>
  <si>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</si>
  <si>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</si>
  <si>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</si>
  <si>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</si>
  <si>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</si>
  <si>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</si>
  <si>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</si>
  <si>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</si>
  <si>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ValueAdded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</si>
</sst>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</v>
      </c>
    </row>
    <row r="20">
      <c r="A20" t="s">
        <v>14</v>
      </c>
    </row>
    <row r="21">
      <c r="A21" t="s">
        <v>15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1</v>
      </c>
    </row>
    <row r="29">
      <c r="A29" t="s">
        <v>22</v>
      </c>
    </row>
    <row r="30">
      <c r="A30" t="s">
        <v>23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27</v>
      </c>
    </row>
    <row r="35">
      <c r="A35" t="s">
        <v>1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1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1</v>
      </c>
    </row>
    <row r="53">
      <c r="A53" t="s">
        <v>43</v>
      </c>
    </row>
    <row r="54">
      <c r="A54" t="s">
        <v>44</v>
      </c>
    </row>
    <row r="55">
      <c r="A55" t="s">
        <v>45</v>
      </c>
    </row>
    <row r="56">
      <c r="A56" t="s">
        <v>46</v>
      </c>
    </row>
    <row r="57">
      <c r="A57" t="s">
        <v>47</v>
      </c>
    </row>
    <row r="58">
      <c r="A58" t="s">
        <v>1</v>
      </c>
    </row>
    <row r="59">
      <c r="A59" t="s">
        <v>48</v>
      </c>
    </row>
    <row r="60">
      <c r="A60" t="s">
        <v>49</v>
      </c>
    </row>
    <row r="61">
      <c r="A61" t="s">
        <v>1</v>
      </c>
    </row>
    <row r="62">
      <c r="A62" t="s">
        <v>4</v>
      </c>
    </row>
    <row r="63">
      <c r="A63" t="s">
        <v>50</v>
      </c>
    </row>
    <row r="64">
      <c r="A64" t="s">
        <v>4</v>
      </c>
    </row>
    <row r="65">
      <c r="A65" t="s">
        <v>51</v>
      </c>
    </row>
    <row r="66">
      <c r="A66" t="s">
        <v>52</v>
      </c>
    </row>
    <row r="67">
      <c r="A67" t="s">
        <v>1</v>
      </c>
    </row>
    <row r="68">
      <c r="A68" t="s">
        <v>53</v>
      </c>
    </row>
    <row r="69">
      <c r="A69" t="s">
        <v>54</v>
      </c>
    </row>
    <row r="70">
      <c r="A70" t="s">
        <v>55</v>
      </c>
    </row>
    <row r="71">
      <c r="A71" t="s">
        <v>56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1</v>
      </c>
    </row>
    <row r="80">
      <c r="A80" t="s">
        <v>64</v>
      </c>
    </row>
    <row r="81">
      <c r="A81" t="s">
        <v>65</v>
      </c>
    </row>
    <row r="82">
      <c r="A82" t="s">
        <v>1</v>
      </c>
    </row>
    <row r="83">
      <c r="A83" t="s">
        <v>4</v>
      </c>
    </row>
    <row r="84">
      <c r="A84" t="s">
        <v>66</v>
      </c>
    </row>
    <row r="85">
      <c r="A85" t="s">
        <v>4</v>
      </c>
    </row>
    <row r="86">
      <c r="A86" t="s">
        <v>67</v>
      </c>
    </row>
    <row r="87">
      <c r="A87" t="s">
        <v>68</v>
      </c>
    </row>
    <row r="88">
      <c r="A88" t="s">
        <v>69</v>
      </c>
    </row>
    <row r="89">
      <c r="A89" t="s">
        <v>1</v>
      </c>
    </row>
    <row r="90">
      <c r="A90" t="s">
        <v>70</v>
      </c>
    </row>
    <row r="91">
      <c r="A91" t="s">
        <v>71</v>
      </c>
    </row>
    <row r="92">
      <c r="A92" t="s">
        <v>72</v>
      </c>
    </row>
    <row r="93">
      <c r="A93" t="s">
        <v>1</v>
      </c>
    </row>
    <row r="94">
      <c r="A94" t="s">
        <v>73</v>
      </c>
    </row>
    <row r="95">
      <c r="A95" t="s">
        <v>74</v>
      </c>
    </row>
    <row r="96">
      <c r="A96" t="s">
        <v>75</v>
      </c>
    </row>
    <row r="97">
      <c r="A97" t="s">
        <v>1</v>
      </c>
    </row>
    <row r="98">
      <c r="A98" t="s">
        <v>76</v>
      </c>
    </row>
    <row r="99">
      <c r="A99" t="s">
        <v>77</v>
      </c>
    </row>
    <row r="100">
      <c r="A100" t="s">
        <v>78</v>
      </c>
    </row>
    <row r="101">
      <c r="A101" t="s">
        <v>1</v>
      </c>
    </row>
    <row r="102">
      <c r="A102" t="s">
        <v>79</v>
      </c>
    </row>
    <row r="103">
      <c r="A103" t="s">
        <v>80</v>
      </c>
    </row>
    <row r="104">
      <c r="A104" t="s">
        <v>81</v>
      </c>
    </row>
    <row r="105">
      <c r="A105" t="s">
        <v>1</v>
      </c>
    </row>
    <row r="106">
      <c r="A106" t="s">
        <v>82</v>
      </c>
    </row>
    <row r="107">
      <c r="A107" t="s">
        <v>83</v>
      </c>
    </row>
    <row r="108">
      <c r="A108" t="s">
        <v>84</v>
      </c>
    </row>
    <row r="109">
      <c r="A109" t="s">
        <v>1</v>
      </c>
    </row>
    <row r="110">
      <c r="A110" t="s">
        <v>85</v>
      </c>
    </row>
    <row r="111">
      <c r="A111" t="s">
        <v>86</v>
      </c>
    </row>
    <row r="112">
      <c r="A112" t="s">
        <v>87</v>
      </c>
    </row>
    <row r="113">
      <c r="A113" t="s">
        <v>1</v>
      </c>
    </row>
    <row r="114">
      <c r="A114" t="s">
        <v>88</v>
      </c>
    </row>
    <row r="115">
      <c r="A115" t="s">
        <v>89</v>
      </c>
    </row>
    <row r="116">
      <c r="A116" t="s">
        <v>90</v>
      </c>
    </row>
    <row r="117">
      <c r="A117" t="s">
        <v>1</v>
      </c>
    </row>
    <row r="118">
      <c r="A118" t="s">
        <v>91</v>
      </c>
    </row>
    <row r="119">
      <c r="A119" t="s">
        <v>92</v>
      </c>
    </row>
    <row r="120">
      <c r="A120" t="s">
        <v>93</v>
      </c>
    </row>
    <row r="121">
      <c r="A121" t="s">
        <v>1</v>
      </c>
    </row>
    <row r="122">
      <c r="A122" t="s">
        <v>94</v>
      </c>
    </row>
    <row r="123">
      <c r="A123" t="s">
        <v>95</v>
      </c>
    </row>
    <row r="124">
      <c r="A124" t="s">
        <v>96</v>
      </c>
    </row>
    <row r="125">
      <c r="A125" t="s">
        <v>1</v>
      </c>
    </row>
    <row r="126">
      <c r="A126" t="s">
        <v>97</v>
      </c>
    </row>
    <row r="127">
      <c r="A127" t="s">
        <v>98</v>
      </c>
    </row>
    <row r="128">
      <c r="A128" t="s">
        <v>99</v>
      </c>
    </row>
    <row r="129">
      <c r="A129" t="s">
        <v>1</v>
      </c>
    </row>
    <row r="130">
      <c r="A130" t="s">
        <v>4</v>
      </c>
    </row>
    <row r="131">
      <c r="A131" t="s">
        <v>100</v>
      </c>
    </row>
    <row r="132">
      <c r="A132" t="s">
        <v>4</v>
      </c>
    </row>
    <row r="133">
      <c r="A133" t="s">
        <v>101</v>
      </c>
    </row>
    <row r="134">
      <c r="A134" t="s">
        <v>102</v>
      </c>
    </row>
    <row r="135">
      <c r="A135" t="s">
        <v>103</v>
      </c>
    </row>
    <row r="136">
      <c r="A136" t="s">
        <v>104</v>
      </c>
    </row>
    <row r="137">
      <c r="A137" t="s">
        <v>105</v>
      </c>
    </row>
    <row r="138">
      <c r="A138" t="s">
        <v>106</v>
      </c>
    </row>
    <row r="139">
      <c r="A139" t="s">
        <v>107</v>
      </c>
    </row>
    <row r="140">
      <c r="A140" t="s">
        <v>108</v>
      </c>
    </row>
    <row r="141">
      <c r="A141" t="s">
        <v>109</v>
      </c>
    </row>
    <row r="142">
      <c r="A142" t="s">
        <v>110</v>
      </c>
    </row>
    <row r="143">
      <c r="A143" t="s">
        <v>111</v>
      </c>
    </row>
    <row r="144">
      <c r="A14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113</v>
      </c>
      <c r="B1" t="s">
        <v>114</v>
      </c>
      <c r="C1" t="s">
        <v>115</v>
      </c>
      <c r="D1" t="s">
        <v>116</v>
      </c>
    </row>
    <row r="2">
      <c r="A2" t="s">
        <v>117</v>
      </c>
      <c r="B2" t="s">
        <v>118</v>
      </c>
      <c r="C2" t="n">
        <v>1.12266</v>
      </c>
      <c r="D2" t="s">
        <v>119</v>
      </c>
    </row>
    <row r="3">
      <c r="A3" t="s">
        <v>120</v>
      </c>
      <c r="B3" t="s">
        <v>121</v>
      </c>
      <c r="C3" t="n">
        <v>2019</v>
      </c>
      <c r="D3" t="s">
        <v>122</v>
      </c>
    </row>
    <row r="4">
      <c r="A4" t="s">
        <v>123</v>
      </c>
      <c r="B4" t="s">
        <v>124</v>
      </c>
      <c r="C4" t="n">
        <v>0.000000001</v>
      </c>
      <c r="D4" t="s">
        <v>125</v>
      </c>
    </row>
    <row r="5">
      <c r="A5" t="s">
        <v>123</v>
      </c>
      <c r="B5" t="s">
        <v>126</v>
      </c>
      <c r="C5" t="n">
        <v>1</v>
      </c>
      <c r="D5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  <c r="AH1" t="s">
        <v>161</v>
      </c>
      <c r="AI1" t="s">
        <v>162</v>
      </c>
      <c r="AJ1" t="s">
        <v>163</v>
      </c>
      <c r="AK1" t="s">
        <v>164</v>
      </c>
      <c r="AL1" t="s">
        <v>165</v>
      </c>
      <c r="AM1" t="s">
        <v>166</v>
      </c>
      <c r="AN1" t="s">
        <v>167</v>
      </c>
      <c r="AO1" t="s">
        <v>168</v>
      </c>
      <c r="AP1" t="s">
        <v>169</v>
      </c>
      <c r="AQ1" t="s">
        <v>170</v>
      </c>
      <c r="AR1" t="s">
        <v>171</v>
      </c>
      <c r="AS1" t="s">
        <v>172</v>
      </c>
      <c r="AT1" t="s">
        <v>173</v>
      </c>
      <c r="AU1" t="s">
        <v>174</v>
      </c>
      <c r="AV1" t="s">
        <v>175</v>
      </c>
      <c r="AW1" t="s">
        <v>176</v>
      </c>
      <c r="AX1" t="s">
        <v>177</v>
      </c>
      <c r="AY1" t="s">
        <v>178</v>
      </c>
      <c r="AZ1" t="s">
        <v>179</v>
      </c>
      <c r="BA1" t="s">
        <v>180</v>
      </c>
      <c r="BB1" t="s">
        <v>181</v>
      </c>
      <c r="BC1" t="s">
        <v>182</v>
      </c>
      <c r="BD1" t="s">
        <v>183</v>
      </c>
      <c r="BE1" t="s">
        <v>184</v>
      </c>
      <c r="BF1" t="s">
        <v>185</v>
      </c>
      <c r="BG1" t="s">
        <v>186</v>
      </c>
      <c r="BH1" t="s">
        <v>187</v>
      </c>
      <c r="BI1" t="s">
        <v>188</v>
      </c>
      <c r="BJ1" t="s">
        <v>189</v>
      </c>
      <c r="BK1" t="s">
        <v>190</v>
      </c>
      <c r="BL1" t="s">
        <v>191</v>
      </c>
      <c r="BM1" t="s">
        <v>192</v>
      </c>
      <c r="BN1" t="s">
        <v>193</v>
      </c>
      <c r="BO1" t="s">
        <v>194</v>
      </c>
      <c r="BP1" t="s">
        <v>195</v>
      </c>
      <c r="BQ1" t="s">
        <v>196</v>
      </c>
      <c r="BR1" t="s">
        <v>197</v>
      </c>
      <c r="BS1" t="s">
        <v>198</v>
      </c>
      <c r="BT1" t="s">
        <v>199</v>
      </c>
    </row>
    <row r="2">
      <c r="A2" t="s">
        <v>200</v>
      </c>
      <c r="B2" t="n">
        <v>1564411975.04689</v>
      </c>
      <c r="C2" t="n">
        <v>1267098280.63003</v>
      </c>
      <c r="D2" t="n">
        <v>18861016673.6114</v>
      </c>
      <c r="E2" t="n">
        <v>1216316983.79804</v>
      </c>
      <c r="F2" t="n">
        <v>18649054432.3301</v>
      </c>
      <c r="G2" t="n">
        <v>8221364069.22882</v>
      </c>
      <c r="H2" t="n">
        <v>61324848200.7096</v>
      </c>
      <c r="I2" t="n">
        <v>1293402357.15837</v>
      </c>
      <c r="J2" t="n">
        <v>3062601240.63968</v>
      </c>
      <c r="K2" t="n">
        <v>1561083998.10207</v>
      </c>
      <c r="L2" t="n">
        <v>9758754334.01143</v>
      </c>
      <c r="M2" t="n">
        <v>11044209725.4147</v>
      </c>
      <c r="N2" t="n">
        <v>13517272805.2453</v>
      </c>
      <c r="O2" t="n">
        <v>1918754994.00719</v>
      </c>
      <c r="P2" t="n">
        <v>7462281618.49711</v>
      </c>
      <c r="Q2" t="n">
        <v>8434456385.76044</v>
      </c>
      <c r="R2" t="n">
        <v>1236667081.35861</v>
      </c>
      <c r="S2" t="n">
        <v>2238604619.15494</v>
      </c>
      <c r="T2" t="n">
        <v>7211488001.62764</v>
      </c>
      <c r="U2" t="n">
        <v>331921381.460607</v>
      </c>
      <c r="V2" t="n">
        <v>420145836.365527</v>
      </c>
      <c r="W2" t="n">
        <v>1372415964.02832</v>
      </c>
      <c r="X2" t="n">
        <v>1252248617.2673</v>
      </c>
      <c r="Y2" t="n">
        <v>5142292931.53361</v>
      </c>
      <c r="Z2" t="n">
        <v>13180850840.3754</v>
      </c>
      <c r="AA2" t="n">
        <v>3115253277.67361</v>
      </c>
      <c r="AB2" t="n">
        <v>64663570779.8938</v>
      </c>
      <c r="AC2" t="n">
        <v>13181127396.1531</v>
      </c>
      <c r="AD2" t="n">
        <v>9933852498.96708</v>
      </c>
      <c r="AE2" t="n">
        <v>10629804818.35</v>
      </c>
      <c r="AF2" t="n">
        <v>22429127596.8812</v>
      </c>
      <c r="AG2" t="n">
        <v>7064936168.60424</v>
      </c>
      <c r="AH2" t="n">
        <v>2010161412.54926</v>
      </c>
      <c r="AI2" t="n">
        <v>459611096.075778</v>
      </c>
      <c r="AJ2" t="n">
        <v>11276170788.2073</v>
      </c>
      <c r="AK2" t="n">
        <v>609086285.335689</v>
      </c>
      <c r="AL2" t="n">
        <v>2322280048.31787</v>
      </c>
      <c r="AM2" t="n">
        <v>9328960593.83528</v>
      </c>
      <c r="AN2" t="n">
        <v>4644513070.73736</v>
      </c>
      <c r="AO2" t="n">
        <v>4697160851.62023</v>
      </c>
      <c r="AP2" t="n">
        <v>977501592.410639</v>
      </c>
      <c r="AQ2" t="n">
        <v>11119266409.0085</v>
      </c>
      <c r="AR2" t="n">
        <v>5452149663.29844</v>
      </c>
      <c r="AS2" t="n">
        <v>15976533535.9666</v>
      </c>
      <c r="AT2" t="n">
        <v>15104943006.1284</v>
      </c>
      <c r="AU2" t="n">
        <v>21525468368.7126</v>
      </c>
      <c r="AV2" t="n">
        <v>216186324.786325</v>
      </c>
      <c r="AW2" t="n">
        <v>2165147057.25287</v>
      </c>
      <c r="AX2" t="n">
        <v>4484945815.22869</v>
      </c>
      <c r="AY2" t="n">
        <v>4513704343.33715</v>
      </c>
      <c r="AZ2" t="n">
        <v>10833825312.5205</v>
      </c>
      <c r="BA2" t="n">
        <v>28874678621.7206</v>
      </c>
      <c r="BB2" t="n">
        <v>55757857493.2315</v>
      </c>
      <c r="BC2" t="n">
        <v>23207802592.3241</v>
      </c>
      <c r="BD2" t="n">
        <v>42426928406.3804</v>
      </c>
      <c r="BE2" t="n">
        <v>3160629266.59538</v>
      </c>
      <c r="BF2" t="n">
        <v>11516941012.8053</v>
      </c>
      <c r="BG2" t="n">
        <v>50292690947.9749</v>
      </c>
      <c r="BH2" t="n">
        <v>27154233657.0331</v>
      </c>
      <c r="BI2" t="n">
        <v>7422017489.66004</v>
      </c>
      <c r="BJ2" t="n">
        <v>6539269980.39536</v>
      </c>
      <c r="BK2" t="n">
        <v>3895412215.58761</v>
      </c>
      <c r="BL2" t="n">
        <v>3175676369.2072</v>
      </c>
      <c r="BM2" t="n">
        <v>5027868355.39179</v>
      </c>
      <c r="BN2" t="n">
        <v>28679237927.9533</v>
      </c>
      <c r="BO2" t="n">
        <v>27619862972.7286</v>
      </c>
      <c r="BP2" t="n">
        <v>13250053257.4903</v>
      </c>
      <c r="BQ2" t="n">
        <v>12379041413.5834</v>
      </c>
      <c r="BR2" t="n">
        <v>3545608282.85891</v>
      </c>
      <c r="BS2" t="n">
        <v>122490394980.257</v>
      </c>
      <c r="BT2" t="n">
        <v>5867250943.39595</v>
      </c>
    </row>
    <row r="3">
      <c r="A3" t="s">
        <v>201</v>
      </c>
      <c r="B3" t="n">
        <v>-619600481.122074</v>
      </c>
      <c r="C3" t="n">
        <v>89120165.9252134</v>
      </c>
      <c r="D3" t="n">
        <v>22092725567.4387</v>
      </c>
      <c r="E3" t="n">
        <v>373763739.638282</v>
      </c>
      <c r="F3" t="n">
        <v>1206667369.0698</v>
      </c>
      <c r="G3" t="n">
        <v>6223586529.69276</v>
      </c>
      <c r="H3" t="n">
        <v>1161861864.99104</v>
      </c>
      <c r="I3" t="n">
        <v>45043601.9986965</v>
      </c>
      <c r="J3" t="n">
        <v>165129400.939205</v>
      </c>
      <c r="K3" t="n">
        <v>127036713.02749</v>
      </c>
      <c r="L3" t="n">
        <v>364546969.057621</v>
      </c>
      <c r="M3" t="n">
        <v>433051015.717214</v>
      </c>
      <c r="N3" t="n">
        <v>765620719.956139</v>
      </c>
      <c r="O3" t="n">
        <v>52548691.5701159</v>
      </c>
      <c r="P3" t="n">
        <v>378187555.253315</v>
      </c>
      <c r="Q3" t="n">
        <v>300618062.139557</v>
      </c>
      <c r="R3" t="n">
        <v>25292199.8420221</v>
      </c>
      <c r="S3" t="n">
        <v>79478462.1780705</v>
      </c>
      <c r="T3" t="n">
        <v>1722440255.58403</v>
      </c>
      <c r="U3" t="n">
        <v>16896450.4137187</v>
      </c>
      <c r="V3" t="n">
        <v>17258737.9145441</v>
      </c>
      <c r="W3" t="n">
        <v>83312567.7658014</v>
      </c>
      <c r="X3" t="n">
        <v>39157742.3395645</v>
      </c>
      <c r="Y3" t="n">
        <v>1050494180.18207</v>
      </c>
      <c r="Z3" t="n">
        <v>2304090390.71651</v>
      </c>
      <c r="AA3" t="n">
        <v>150144550.182191</v>
      </c>
      <c r="AB3" t="n">
        <v>32544005496.8723</v>
      </c>
      <c r="AC3" t="n">
        <v>5485103048.37469</v>
      </c>
      <c r="AD3" t="n">
        <v>2693668823.65608</v>
      </c>
      <c r="AE3" t="n">
        <v>4791659999.43251</v>
      </c>
      <c r="AF3" t="n">
        <v>9059124379.67712</v>
      </c>
      <c r="AG3" t="n">
        <v>3208180350.189</v>
      </c>
      <c r="AH3" t="n">
        <v>8561685.35919976</v>
      </c>
      <c r="AI3" t="n">
        <v>71654687.8020491</v>
      </c>
      <c r="AJ3" t="n">
        <v>508288785.269237</v>
      </c>
      <c r="AK3" t="n">
        <v>44198420.9363958</v>
      </c>
      <c r="AL3" t="n">
        <v>1044836248.68282</v>
      </c>
      <c r="AM3" t="n">
        <v>251671754.633262</v>
      </c>
      <c r="AN3" t="n">
        <v>73070230.3393758</v>
      </c>
      <c r="AO3" t="n">
        <v>261248120.781502</v>
      </c>
      <c r="AP3" t="n">
        <v>156779237.675758</v>
      </c>
      <c r="AQ3" t="n">
        <v>4323946681.71278</v>
      </c>
      <c r="AR3" t="n">
        <v>283505266.114617</v>
      </c>
      <c r="AS3" t="n">
        <v>1152153595.58107</v>
      </c>
      <c r="AT3" t="n">
        <v>358455785.399419</v>
      </c>
      <c r="AU3" t="n">
        <v>2474103938.72635</v>
      </c>
      <c r="AV3" t="n">
        <v>57507692.3076923</v>
      </c>
      <c r="AW3" t="n">
        <v>23863430627.8823</v>
      </c>
      <c r="AX3" t="n">
        <v>1319357432.82542</v>
      </c>
      <c r="AY3" t="n">
        <v>2604183674.80105</v>
      </c>
      <c r="AZ3" t="n">
        <v>1353587332.36599</v>
      </c>
      <c r="BA3" t="n">
        <v>744733516.79405</v>
      </c>
      <c r="BB3" t="n">
        <v>1388775246.84178</v>
      </c>
      <c r="BC3" t="n">
        <v>650817132.417119</v>
      </c>
      <c r="BD3" t="n">
        <v>1112620185.52147</v>
      </c>
      <c r="BE3" t="n">
        <v>382497123.07144</v>
      </c>
      <c r="BF3" t="n">
        <v>554593304.696258</v>
      </c>
      <c r="BG3" t="n">
        <v>875505717.155807</v>
      </c>
      <c r="BH3" t="n">
        <v>1017211133.1652</v>
      </c>
      <c r="BI3" t="n">
        <v>361924657.01604</v>
      </c>
      <c r="BJ3" t="n">
        <v>119474546.642705</v>
      </c>
      <c r="BK3" t="n">
        <v>505379249.727775</v>
      </c>
      <c r="BL3" t="n">
        <v>897048952.974422</v>
      </c>
      <c r="BM3" t="n">
        <v>1840387676.85684</v>
      </c>
      <c r="BN3" t="n">
        <v>5315893068.28892</v>
      </c>
      <c r="BO3" t="n">
        <v>2156540244.08618</v>
      </c>
      <c r="BP3" t="n">
        <v>0</v>
      </c>
      <c r="BQ3" t="n">
        <v>0</v>
      </c>
      <c r="BR3" t="n">
        <v>-374158502.932111</v>
      </c>
      <c r="BS3" t="n">
        <v>0</v>
      </c>
      <c r="BT3" t="n">
        <v>-1078421658.78077</v>
      </c>
    </row>
    <row r="4">
      <c r="A4" t="s">
        <v>202</v>
      </c>
      <c r="B4" t="n">
        <v>5756633857.94667</v>
      </c>
      <c r="C4" t="n">
        <v>557081553.444752</v>
      </c>
      <c r="D4" t="n">
        <v>64766945924.627</v>
      </c>
      <c r="E4" t="n">
        <v>1808755243.02939</v>
      </c>
      <c r="F4" t="n">
        <v>15046978198.6001</v>
      </c>
      <c r="G4" t="n">
        <v>16554442886.223</v>
      </c>
      <c r="H4" t="n">
        <v>35167892409.3272</v>
      </c>
      <c r="I4" t="n">
        <v>594754040.842929</v>
      </c>
      <c r="J4" t="n">
        <v>2844965699.96192</v>
      </c>
      <c r="K4" t="n">
        <v>1404879288.87044</v>
      </c>
      <c r="L4" t="n">
        <v>4376390016.31198</v>
      </c>
      <c r="M4" t="n">
        <v>5967239258.86811</v>
      </c>
      <c r="N4" t="n">
        <v>8047906474.79853</v>
      </c>
      <c r="O4" t="n">
        <v>1043746504.19497</v>
      </c>
      <c r="P4" t="n">
        <v>7189930826.24957</v>
      </c>
      <c r="Q4" t="n">
        <v>7220325552.1</v>
      </c>
      <c r="R4" t="n">
        <v>415940718.799368</v>
      </c>
      <c r="S4" t="n">
        <v>1222116918.66699</v>
      </c>
      <c r="T4" t="n">
        <v>7243571742.78833</v>
      </c>
      <c r="U4" t="n">
        <v>98482168.1256745</v>
      </c>
      <c r="V4" t="n">
        <v>91350389.8534151</v>
      </c>
      <c r="W4" t="n">
        <v>1196571468.20588</v>
      </c>
      <c r="X4" t="n">
        <v>659993640.393139</v>
      </c>
      <c r="Y4" t="n">
        <v>28984167503.0519</v>
      </c>
      <c r="Z4" t="n">
        <v>29321558768.9081</v>
      </c>
      <c r="AA4" t="n">
        <v>1952802172.1442</v>
      </c>
      <c r="AB4" t="n">
        <v>52931723723.234</v>
      </c>
      <c r="AC4" t="n">
        <v>7740737075.0172</v>
      </c>
      <c r="AD4" t="n">
        <v>3583488377.28696</v>
      </c>
      <c r="AE4" t="n">
        <v>2164010958.15737</v>
      </c>
      <c r="AF4" t="n">
        <v>16482286371.1852</v>
      </c>
      <c r="AG4" t="n">
        <v>5470783481.20676</v>
      </c>
      <c r="AH4" t="n">
        <v>2016276902.09154</v>
      </c>
      <c r="AI4" t="n">
        <v>390034216.122173</v>
      </c>
      <c r="AJ4" t="n">
        <v>8368440426.52348</v>
      </c>
      <c r="AK4" t="n">
        <v>408415293.727915</v>
      </c>
      <c r="AL4" t="n">
        <v>7181283702.99931</v>
      </c>
      <c r="AM4" t="n">
        <v>3522767651.53146</v>
      </c>
      <c r="AN4" t="n">
        <v>543616698.923266</v>
      </c>
      <c r="AO4" t="n">
        <v>5901391027.59827</v>
      </c>
      <c r="AP4" t="n">
        <v>1073394236.82873</v>
      </c>
      <c r="AQ4" t="n">
        <v>33743984975.7461</v>
      </c>
      <c r="AR4" t="n">
        <v>6016545070.58695</v>
      </c>
      <c r="AS4" t="n">
        <v>23693668027.0886</v>
      </c>
      <c r="AT4" t="n">
        <v>713259182.883561</v>
      </c>
      <c r="AU4" t="n">
        <v>21514727692.5611</v>
      </c>
      <c r="AV4" t="n">
        <v>-140194017.094017</v>
      </c>
      <c r="AW4" t="n">
        <v>154928535116.142</v>
      </c>
      <c r="AX4" t="n">
        <v>19440320059.5155</v>
      </c>
      <c r="AY4" t="n">
        <v>19687801278.5939</v>
      </c>
      <c r="AZ4" t="n">
        <v>9686811963.14895</v>
      </c>
      <c r="BA4" t="n">
        <v>5753187861.4854</v>
      </c>
      <c r="BB4" t="n">
        <v>23842767259.9268</v>
      </c>
      <c r="BC4" t="n">
        <v>2476780275.25876</v>
      </c>
      <c r="BD4" t="n">
        <v>13433651408.0982</v>
      </c>
      <c r="BE4" t="n">
        <v>1892373610.33318</v>
      </c>
      <c r="BF4" t="n">
        <v>2508211738.98083</v>
      </c>
      <c r="BG4" t="n">
        <v>13748903334.8693</v>
      </c>
      <c r="BH4" t="n">
        <v>5172755209.80167</v>
      </c>
      <c r="BI4" t="n">
        <v>509057853.323918</v>
      </c>
      <c r="BJ4" t="n">
        <v>636055472.961934</v>
      </c>
      <c r="BK4" t="n">
        <v>3823708534.68461</v>
      </c>
      <c r="BL4" t="n">
        <v>1142174677.81838</v>
      </c>
      <c r="BM4" t="n">
        <v>3873043967.75137</v>
      </c>
      <c r="BN4" t="n">
        <v>8286782746.00047</v>
      </c>
      <c r="BO4" t="n">
        <v>9353796783.18517</v>
      </c>
      <c r="BP4" t="n">
        <v>8217548874.54291</v>
      </c>
      <c r="BQ4" t="n">
        <v>7835676562.55341</v>
      </c>
      <c r="BR4" t="n">
        <v>633142266.077063</v>
      </c>
      <c r="BS4" t="n">
        <v>19522627519.6456</v>
      </c>
      <c r="BT4" t="n">
        <v>2901133388.40562</v>
      </c>
    </row>
    <row r="5">
      <c r="A5" t="s">
        <v>200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201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2.71" hidden="0" customWidth="1"/>
  </cols>
  <sheetData>
    <row r="1">
      <c r="A1" t="s">
        <v>203</v>
      </c>
      <c r="B1" t="s">
        <v>204</v>
      </c>
    </row>
    <row r="2">
      <c r="A2" t="s">
        <v>129</v>
      </c>
      <c r="B2" t="str">
        <f>SUM(INDEX('1_Source_ValueAdded'!$B$2:$BT$7, 0, MATCH($A2, '1_Source_ValueAdded'!$B$1:$BT$1, 0)))</f>
      </c>
    </row>
    <row r="3">
      <c r="A3" t="s">
        <v>130</v>
      </c>
      <c r="B3" t="str">
        <f>SUM(INDEX('1_Source_ValueAdded'!$B$2:$BT$7, 0, MATCH($A3, '1_Source_ValueAdded'!$B$1:$BT$1, 0)))</f>
      </c>
    </row>
    <row r="4">
      <c r="A4" t="s">
        <v>131</v>
      </c>
      <c r="B4" t="str">
        <f>SUM(INDEX('1_Source_ValueAdded'!$B$2:$BT$7, 0, MATCH($A4, '1_Source_ValueAdded'!$B$1:$BT$1, 0)))</f>
      </c>
    </row>
    <row r="5">
      <c r="A5" t="s">
        <v>132</v>
      </c>
      <c r="B5" t="str">
        <f>SUM(INDEX('1_Source_ValueAdded'!$B$2:$BT$7, 0, MATCH($A5, '1_Source_ValueAdded'!$B$1:$BT$1, 0)))</f>
      </c>
    </row>
    <row r="6">
      <c r="A6" t="s">
        <v>133</v>
      </c>
      <c r="B6" t="str">
        <f>SUM(INDEX('1_Source_ValueAdded'!$B$2:$BT$7, 0, MATCH($A6, '1_Source_ValueAdded'!$B$1:$BT$1, 0)))</f>
      </c>
    </row>
    <row r="7">
      <c r="A7" t="s">
        <v>134</v>
      </c>
      <c r="B7" t="str">
        <f>SUM(INDEX('1_Source_ValueAdded'!$B$2:$BT$7, 0, MATCH($A7, '1_Source_ValueAdded'!$B$1:$BT$1, 0)))</f>
      </c>
    </row>
    <row r="8">
      <c r="A8" t="s">
        <v>135</v>
      </c>
      <c r="B8" t="str">
        <f>SUM(INDEX('1_Source_ValueAdded'!$B$2:$BT$7, 0, MATCH($A8, '1_Source_ValueAdded'!$B$1:$BT$1, 0)))</f>
      </c>
    </row>
    <row r="9">
      <c r="A9" t="s">
        <v>136</v>
      </c>
      <c r="B9" t="str">
        <f>SUM(INDEX('1_Source_ValueAdded'!$B$2:$BT$7, 0, MATCH($A9, '1_Source_ValueAdded'!$B$1:$BT$1, 0)))</f>
      </c>
    </row>
    <row r="10">
      <c r="A10" t="s">
        <v>137</v>
      </c>
      <c r="B10" t="str">
        <f>SUM(INDEX('1_Source_ValueAdded'!$B$2:$BT$7, 0, MATCH($A10, '1_Source_ValueAdded'!$B$1:$BT$1, 0)))</f>
      </c>
    </row>
    <row r="11">
      <c r="A11" t="s">
        <v>138</v>
      </c>
      <c r="B11" t="str">
        <f>SUM(INDEX('1_Source_ValueAdded'!$B$2:$BT$7, 0, MATCH($A11, '1_Source_ValueAdded'!$B$1:$BT$1, 0)))</f>
      </c>
    </row>
    <row r="12">
      <c r="A12" t="s">
        <v>139</v>
      </c>
      <c r="B12" t="str">
        <f>SUM(INDEX('1_Source_ValueAdded'!$B$2:$BT$7, 0, MATCH($A12, '1_Source_ValueAdded'!$B$1:$BT$1, 0)))</f>
      </c>
    </row>
    <row r="13">
      <c r="A13" t="s">
        <v>140</v>
      </c>
      <c r="B13" t="str">
        <f>SUM(INDEX('1_Source_ValueAdded'!$B$2:$BT$7, 0, MATCH($A13, '1_Source_ValueAdded'!$B$1:$BT$1, 0)))</f>
      </c>
    </row>
    <row r="14">
      <c r="A14" t="s">
        <v>141</v>
      </c>
      <c r="B14" t="str">
        <f>SUM(INDEX('1_Source_ValueAdded'!$B$2:$BT$7, 0, MATCH($A14, '1_Source_ValueAdded'!$B$1:$BT$1, 0)))</f>
      </c>
    </row>
    <row r="15">
      <c r="A15" t="s">
        <v>142</v>
      </c>
      <c r="B15" t="str">
        <f>SUM(INDEX('1_Source_ValueAdded'!$B$2:$BT$7, 0, MATCH($A15, '1_Source_ValueAdded'!$B$1:$BT$1, 0)))</f>
      </c>
    </row>
    <row r="16">
      <c r="A16" t="s">
        <v>143</v>
      </c>
      <c r="B16" t="str">
        <f>SUM(INDEX('1_Source_ValueAdded'!$B$2:$BT$7, 0, MATCH($A16, '1_Source_ValueAdded'!$B$1:$BT$1, 0)))</f>
      </c>
    </row>
    <row r="17">
      <c r="A17" t="s">
        <v>144</v>
      </c>
      <c r="B17" t="str">
        <f>SUM(INDEX('1_Source_ValueAdded'!$B$2:$BT$7, 0, MATCH($A17, '1_Source_ValueAdded'!$B$1:$BT$1, 0)))</f>
      </c>
    </row>
    <row r="18">
      <c r="A18" t="s">
        <v>145</v>
      </c>
      <c r="B18" t="str">
        <f>SUM(INDEX('1_Source_ValueAdded'!$B$2:$BT$7, 0, MATCH($A18, '1_Source_ValueAdded'!$B$1:$BT$1, 0)))</f>
      </c>
    </row>
    <row r="19">
      <c r="A19" t="s">
        <v>146</v>
      </c>
      <c r="B19" t="str">
        <f>SUM(INDEX('1_Source_ValueAdded'!$B$2:$BT$7, 0, MATCH($A19, '1_Source_ValueAdded'!$B$1:$BT$1, 0)))</f>
      </c>
    </row>
    <row r="20">
      <c r="A20" t="s">
        <v>147</v>
      </c>
      <c r="B20" t="str">
        <f>SUM(INDEX('1_Source_ValueAdded'!$B$2:$BT$7, 0, MATCH($A20, '1_Source_ValueAdded'!$B$1:$BT$1, 0)))</f>
      </c>
    </row>
    <row r="21">
      <c r="A21" t="s">
        <v>148</v>
      </c>
      <c r="B21" t="str">
        <f>SUM(INDEX('1_Source_ValueAdded'!$B$2:$BT$7, 0, MATCH($A21, '1_Source_ValueAdded'!$B$1:$BT$1, 0)))</f>
      </c>
    </row>
    <row r="22">
      <c r="A22" t="s">
        <v>149</v>
      </c>
      <c r="B22" t="str">
        <f>SUM(INDEX('1_Source_ValueAdded'!$B$2:$BT$7, 0, MATCH($A22, '1_Source_ValueAdded'!$B$1:$BT$1, 0)))</f>
      </c>
    </row>
    <row r="23">
      <c r="A23" t="s">
        <v>150</v>
      </c>
      <c r="B23" t="str">
        <f>SUM(INDEX('1_Source_ValueAdded'!$B$2:$BT$7, 0, MATCH($A23, '1_Source_ValueAdded'!$B$1:$BT$1, 0)))</f>
      </c>
    </row>
    <row r="24">
      <c r="A24" t="s">
        <v>151</v>
      </c>
      <c r="B24" t="str">
        <f>SUM(INDEX('1_Source_ValueAdded'!$B$2:$BT$7, 0, MATCH($A24, '1_Source_ValueAdded'!$B$1:$BT$1, 0)))</f>
      </c>
    </row>
    <row r="25">
      <c r="A25" t="s">
        <v>152</v>
      </c>
      <c r="B25" t="str">
        <f>SUM(INDEX('1_Source_ValueAdded'!$B$2:$BT$7, 0, MATCH($A25, '1_Source_ValueAdded'!$B$1:$BT$1, 0)))</f>
      </c>
    </row>
    <row r="26">
      <c r="A26" t="s">
        <v>153</v>
      </c>
      <c r="B26" t="str">
        <f>SUM(INDEX('1_Source_ValueAdded'!$B$2:$BT$7, 0, MATCH($A26, '1_Source_ValueAdded'!$B$1:$BT$1, 0)))</f>
      </c>
    </row>
    <row r="27">
      <c r="A27" t="s">
        <v>154</v>
      </c>
      <c r="B27" t="str">
        <f>SUM(INDEX('1_Source_ValueAdded'!$B$2:$BT$7, 0, MATCH($A27, '1_Source_ValueAdded'!$B$1:$BT$1, 0)))</f>
      </c>
    </row>
    <row r="28">
      <c r="A28" t="s">
        <v>155</v>
      </c>
      <c r="B28" t="str">
        <f>SUM(INDEX('1_Source_ValueAdded'!$B$2:$BT$7, 0, MATCH($A28, '1_Source_ValueAdded'!$B$1:$BT$1, 0)))</f>
      </c>
    </row>
    <row r="29">
      <c r="A29" t="s">
        <v>156</v>
      </c>
      <c r="B29" t="str">
        <f>SUM(INDEX('1_Source_ValueAdded'!$B$2:$BT$7, 0, MATCH($A29, '1_Source_ValueAdded'!$B$1:$BT$1, 0)))</f>
      </c>
    </row>
    <row r="30">
      <c r="A30" t="s">
        <v>157</v>
      </c>
      <c r="B30" t="str">
        <f>SUM(INDEX('1_Source_ValueAdded'!$B$2:$BT$7, 0, MATCH($A30, '1_Source_ValueAdded'!$B$1:$BT$1, 0)))</f>
      </c>
    </row>
    <row r="31">
      <c r="A31" t="s">
        <v>158</v>
      </c>
      <c r="B31" t="str">
        <f>SUM(INDEX('1_Source_ValueAdded'!$B$2:$BT$7, 0, MATCH($A31, '1_Source_ValueAdded'!$B$1:$BT$1, 0)))</f>
      </c>
    </row>
    <row r="32">
      <c r="A32" t="s">
        <v>159</v>
      </c>
      <c r="B32" t="str">
        <f>SUM(INDEX('1_Source_ValueAdded'!$B$2:$BT$7, 0, MATCH($A32, '1_Source_ValueAdded'!$B$1:$BT$1, 0)))</f>
      </c>
    </row>
    <row r="33">
      <c r="A33" t="s">
        <v>160</v>
      </c>
      <c r="B33" t="str">
        <f>SUM(INDEX('1_Source_ValueAdded'!$B$2:$BT$7, 0, MATCH($A33, '1_Source_ValueAdded'!$B$1:$BT$1, 0)))</f>
      </c>
    </row>
    <row r="34">
      <c r="A34" t="s">
        <v>161</v>
      </c>
      <c r="B34" t="str">
        <f>SUM(INDEX('1_Source_ValueAdded'!$B$2:$BT$7, 0, MATCH($A34, '1_Source_ValueAdded'!$B$1:$BT$1, 0)))</f>
      </c>
    </row>
    <row r="35">
      <c r="A35" t="s">
        <v>162</v>
      </c>
      <c r="B35" t="str">
        <f>SUM(INDEX('1_Source_ValueAdded'!$B$2:$BT$7, 0, MATCH($A35, '1_Source_ValueAdded'!$B$1:$BT$1, 0)))</f>
      </c>
    </row>
    <row r="36">
      <c r="A36" t="s">
        <v>163</v>
      </c>
      <c r="B36" t="str">
        <f>SUM(INDEX('1_Source_ValueAdded'!$B$2:$BT$7, 0, MATCH($A36, '1_Source_ValueAdded'!$B$1:$BT$1, 0)))</f>
      </c>
    </row>
    <row r="37">
      <c r="A37" t="s">
        <v>164</v>
      </c>
      <c r="B37" t="str">
        <f>SUM(INDEX('1_Source_ValueAdded'!$B$2:$BT$7, 0, MATCH($A37, '1_Source_ValueAdded'!$B$1:$BT$1, 0)))</f>
      </c>
    </row>
    <row r="38">
      <c r="A38" t="s">
        <v>165</v>
      </c>
      <c r="B38" t="str">
        <f>SUM(INDEX('1_Source_ValueAdded'!$B$2:$BT$7, 0, MATCH($A38, '1_Source_ValueAdded'!$B$1:$BT$1, 0)))</f>
      </c>
    </row>
    <row r="39">
      <c r="A39" t="s">
        <v>166</v>
      </c>
      <c r="B39" t="str">
        <f>SUM(INDEX('1_Source_ValueAdded'!$B$2:$BT$7, 0, MATCH($A39, '1_Source_ValueAdded'!$B$1:$BT$1, 0)))</f>
      </c>
    </row>
    <row r="40">
      <c r="A40" t="s">
        <v>167</v>
      </c>
      <c r="B40" t="str">
        <f>SUM(INDEX('1_Source_ValueAdded'!$B$2:$BT$7, 0, MATCH($A40, '1_Source_ValueAdded'!$B$1:$BT$1, 0)))</f>
      </c>
    </row>
    <row r="41">
      <c r="A41" t="s">
        <v>168</v>
      </c>
      <c r="B41" t="str">
        <f>SUM(INDEX('1_Source_ValueAdded'!$B$2:$BT$7, 0, MATCH($A41, '1_Source_ValueAdded'!$B$1:$BT$1, 0)))</f>
      </c>
    </row>
    <row r="42">
      <c r="A42" t="s">
        <v>169</v>
      </c>
      <c r="B42" t="str">
        <f>SUM(INDEX('1_Source_ValueAdded'!$B$2:$BT$7, 0, MATCH($A42, '1_Source_ValueAdded'!$B$1:$BT$1, 0)))</f>
      </c>
    </row>
    <row r="43">
      <c r="A43" t="s">
        <v>170</v>
      </c>
      <c r="B43" t="str">
        <f>SUM(INDEX('1_Source_ValueAdded'!$B$2:$BT$7, 0, MATCH($A43, '1_Source_ValueAdded'!$B$1:$BT$1, 0)))</f>
      </c>
    </row>
    <row r="44">
      <c r="A44" t="s">
        <v>171</v>
      </c>
      <c r="B44" t="str">
        <f>SUM(INDEX('1_Source_ValueAdded'!$B$2:$BT$7, 0, MATCH($A44, '1_Source_ValueAdded'!$B$1:$BT$1, 0)))</f>
      </c>
    </row>
    <row r="45">
      <c r="A45" t="s">
        <v>172</v>
      </c>
      <c r="B45" t="str">
        <f>SUM(INDEX('1_Source_ValueAdded'!$B$2:$BT$7, 0, MATCH($A45, '1_Source_ValueAdded'!$B$1:$BT$1, 0)))</f>
      </c>
    </row>
    <row r="46">
      <c r="A46" t="s">
        <v>173</v>
      </c>
      <c r="B46" t="str">
        <f>SUM(INDEX('1_Source_ValueAdded'!$B$2:$BT$7, 0, MATCH($A46, '1_Source_ValueAdded'!$B$1:$BT$1, 0)))</f>
      </c>
    </row>
    <row r="47">
      <c r="A47" t="s">
        <v>174</v>
      </c>
      <c r="B47" t="str">
        <f>SUM(INDEX('1_Source_ValueAdded'!$B$2:$BT$7, 0, MATCH($A47, '1_Source_ValueAdded'!$B$1:$BT$1, 0)))</f>
      </c>
    </row>
    <row r="48">
      <c r="A48" t="s">
        <v>175</v>
      </c>
      <c r="B48" t="str">
        <f>SUM(INDEX('1_Source_ValueAdded'!$B$2:$BT$7, 0, MATCH($A48, '1_Source_ValueAdded'!$B$1:$BT$1, 0)))</f>
      </c>
    </row>
    <row r="49">
      <c r="A49" t="s">
        <v>176</v>
      </c>
      <c r="B49" t="str">
        <f>SUM(INDEX('1_Source_ValueAdded'!$B$2:$BT$7, 0, MATCH($A49, '1_Source_ValueAdded'!$B$1:$BT$1, 0)))</f>
      </c>
    </row>
    <row r="50">
      <c r="A50" t="s">
        <v>177</v>
      </c>
      <c r="B50" t="str">
        <f>SUM(INDEX('1_Source_ValueAdded'!$B$2:$BT$7, 0, MATCH($A50, '1_Source_ValueAdded'!$B$1:$BT$1, 0)))</f>
      </c>
    </row>
    <row r="51">
      <c r="A51" t="s">
        <v>178</v>
      </c>
      <c r="B51" t="str">
        <f>SUM(INDEX('1_Source_ValueAdded'!$B$2:$BT$7, 0, MATCH($A51, '1_Source_ValueAdded'!$B$1:$BT$1, 0)))</f>
      </c>
    </row>
    <row r="52">
      <c r="A52" t="s">
        <v>179</v>
      </c>
      <c r="B52" t="str">
        <f>SUM(INDEX('1_Source_ValueAdded'!$B$2:$BT$7, 0, MATCH($A52, '1_Source_ValueAdded'!$B$1:$BT$1, 0)))</f>
      </c>
    </row>
    <row r="53">
      <c r="A53" t="s">
        <v>180</v>
      </c>
      <c r="B53" t="str">
        <f>SUM(INDEX('1_Source_ValueAdded'!$B$2:$BT$7, 0, MATCH($A53, '1_Source_ValueAdded'!$B$1:$BT$1, 0)))</f>
      </c>
    </row>
    <row r="54">
      <c r="A54" t="s">
        <v>181</v>
      </c>
      <c r="B54" t="str">
        <f>SUM(INDEX('1_Source_ValueAdded'!$B$2:$BT$7, 0, MATCH($A54, '1_Source_ValueAdded'!$B$1:$BT$1, 0)))</f>
      </c>
    </row>
    <row r="55">
      <c r="A55" t="s">
        <v>182</v>
      </c>
      <c r="B55" t="str">
        <f>SUM(INDEX('1_Source_ValueAdded'!$B$2:$BT$7, 0, MATCH($A55, '1_Source_ValueAdded'!$B$1:$BT$1, 0)))</f>
      </c>
    </row>
    <row r="56">
      <c r="A56" t="s">
        <v>183</v>
      </c>
      <c r="B56" t="str">
        <f>SUM(INDEX('1_Source_ValueAdded'!$B$2:$BT$7, 0, MATCH($A56, '1_Source_ValueAdded'!$B$1:$BT$1, 0)))</f>
      </c>
    </row>
    <row r="57">
      <c r="A57" t="s">
        <v>184</v>
      </c>
      <c r="B57" t="str">
        <f>SUM(INDEX('1_Source_ValueAdded'!$B$2:$BT$7, 0, MATCH($A57, '1_Source_ValueAdded'!$B$1:$BT$1, 0)))</f>
      </c>
    </row>
    <row r="58">
      <c r="A58" t="s">
        <v>185</v>
      </c>
      <c r="B58" t="str">
        <f>SUM(INDEX('1_Source_ValueAdded'!$B$2:$BT$7, 0, MATCH($A58, '1_Source_ValueAdded'!$B$1:$BT$1, 0)))</f>
      </c>
    </row>
    <row r="59">
      <c r="A59" t="s">
        <v>186</v>
      </c>
      <c r="B59" t="str">
        <f>SUM(INDEX('1_Source_ValueAdded'!$B$2:$BT$7, 0, MATCH($A59, '1_Source_ValueAdded'!$B$1:$BT$1, 0)))</f>
      </c>
    </row>
    <row r="60">
      <c r="A60" t="s">
        <v>187</v>
      </c>
      <c r="B60" t="str">
        <f>SUM(INDEX('1_Source_ValueAdded'!$B$2:$BT$7, 0, MATCH($A60, '1_Source_ValueAdded'!$B$1:$BT$1, 0)))</f>
      </c>
    </row>
    <row r="61">
      <c r="A61" t="s">
        <v>188</v>
      </c>
      <c r="B61" t="str">
        <f>SUM(INDEX('1_Source_ValueAdded'!$B$2:$BT$7, 0, MATCH($A61, '1_Source_ValueAdded'!$B$1:$BT$1, 0)))</f>
      </c>
    </row>
    <row r="62">
      <c r="A62" t="s">
        <v>189</v>
      </c>
      <c r="B62" t="str">
        <f>SUM(INDEX('1_Source_ValueAdded'!$B$2:$BT$7, 0, MATCH($A62, '1_Source_ValueAdded'!$B$1:$BT$1, 0)))</f>
      </c>
    </row>
    <row r="63">
      <c r="A63" t="s">
        <v>190</v>
      </c>
      <c r="B63" t="str">
        <f>SUM(INDEX('1_Source_ValueAdded'!$B$2:$BT$7, 0, MATCH($A63, '1_Source_ValueAdded'!$B$1:$BT$1, 0)))</f>
      </c>
    </row>
    <row r="64">
      <c r="A64" t="s">
        <v>191</v>
      </c>
      <c r="B64" t="str">
        <f>SUM(INDEX('1_Source_ValueAdded'!$B$2:$BT$7, 0, MATCH($A64, '1_Source_ValueAdded'!$B$1:$BT$1, 0)))</f>
      </c>
    </row>
    <row r="65">
      <c r="A65" t="s">
        <v>192</v>
      </c>
      <c r="B65" t="str">
        <f>SUM(INDEX('1_Source_ValueAdded'!$B$2:$BT$7, 0, MATCH($A65, '1_Source_ValueAdded'!$B$1:$BT$1, 0)))</f>
      </c>
    </row>
    <row r="66">
      <c r="A66" t="s">
        <v>193</v>
      </c>
      <c r="B66" t="str">
        <f>SUM(INDEX('1_Source_ValueAdded'!$B$2:$BT$7, 0, MATCH($A66, '1_Source_ValueAdded'!$B$1:$BT$1, 0)))</f>
      </c>
    </row>
    <row r="67">
      <c r="A67" t="s">
        <v>194</v>
      </c>
      <c r="B67" t="str">
        <f>SUM(INDEX('1_Source_ValueAdded'!$B$2:$BT$7, 0, MATCH($A67, '1_Source_ValueAdded'!$B$1:$BT$1, 0)))</f>
      </c>
    </row>
    <row r="68">
      <c r="A68" t="s">
        <v>195</v>
      </c>
      <c r="B68" t="str">
        <f>SUM(INDEX('1_Source_ValueAdded'!$B$2:$BT$7, 0, MATCH($A68, '1_Source_ValueAdded'!$B$1:$BT$1, 0)))</f>
      </c>
    </row>
    <row r="69">
      <c r="A69" t="s">
        <v>196</v>
      </c>
      <c r="B69" t="str">
        <f>SUM(INDEX('1_Source_ValueAdded'!$B$2:$BT$7, 0, MATCH($A69, '1_Source_ValueAdded'!$B$1:$BT$1, 0)))</f>
      </c>
    </row>
    <row r="70">
      <c r="A70" t="s">
        <v>197</v>
      </c>
      <c r="B70" t="str">
        <f>SUM(INDEX('1_Source_ValueAdded'!$B$2:$BT$7, 0, MATCH($A70, '1_Source_ValueAdded'!$B$1:$BT$1, 0)))</f>
      </c>
    </row>
    <row r="71">
      <c r="A71" t="s">
        <v>198</v>
      </c>
      <c r="B71" t="str">
        <f>SUM(INDEX('1_Source_ValueAdded'!$B$2:$BT$7, 0, MATCH($A71, '1_Source_ValueAdded'!$B$1:$BT$1, 0)))</f>
      </c>
    </row>
    <row r="72">
      <c r="A72" t="s">
        <v>199</v>
      </c>
      <c r="B72" t="str">
        <f>SUM(INDEX('1_Source_ValueAdded'!$B$2:$BT$7, 0, MATCH($A72, '1_Source_ValueAdded'!$B$1:$BT$1, 0)))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205</v>
      </c>
    </row>
    <row r="2">
      <c r="A2" t="s">
        <v>206</v>
      </c>
    </row>
    <row r="3">
      <c r="A3" t="s">
        <v>207</v>
      </c>
    </row>
    <row r="4">
      <c r="A4" t="s">
        <v>208</v>
      </c>
    </row>
    <row r="5">
      <c r="A5" t="s">
        <v>209</v>
      </c>
    </row>
    <row r="6">
      <c r="A6" t="s">
        <v>1</v>
      </c>
    </row>
    <row r="8">
      <c r="A8" t="s">
        <v>210</v>
      </c>
      <c r="B8" t="s">
        <v>129</v>
      </c>
      <c r="C8" t="s">
        <v>130</v>
      </c>
      <c r="D8" t="s">
        <v>131</v>
      </c>
      <c r="E8" t="s">
        <v>132</v>
      </c>
      <c r="F8" t="s">
        <v>133</v>
      </c>
      <c r="G8" t="s">
        <v>134</v>
      </c>
      <c r="H8" t="s">
        <v>135</v>
      </c>
      <c r="I8" t="s">
        <v>136</v>
      </c>
      <c r="J8" t="s">
        <v>137</v>
      </c>
      <c r="K8" t="s">
        <v>138</v>
      </c>
      <c r="L8" t="s">
        <v>139</v>
      </c>
      <c r="M8" t="s">
        <v>140</v>
      </c>
      <c r="N8" t="s">
        <v>141</v>
      </c>
      <c r="O8" t="s">
        <v>142</v>
      </c>
      <c r="P8" t="s">
        <v>143</v>
      </c>
      <c r="Q8" t="s">
        <v>144</v>
      </c>
      <c r="R8" t="s">
        <v>145</v>
      </c>
      <c r="S8" t="s">
        <v>146</v>
      </c>
      <c r="T8" t="s">
        <v>147</v>
      </c>
      <c r="U8" t="s">
        <v>148</v>
      </c>
      <c r="V8" t="s">
        <v>149</v>
      </c>
      <c r="W8" t="s">
        <v>150</v>
      </c>
      <c r="X8" t="s">
        <v>151</v>
      </c>
      <c r="Y8" t="s">
        <v>152</v>
      </c>
      <c r="Z8" t="s">
        <v>153</v>
      </c>
      <c r="AA8" t="s">
        <v>154</v>
      </c>
      <c r="AB8" t="s">
        <v>155</v>
      </c>
      <c r="AC8" t="s">
        <v>156</v>
      </c>
      <c r="AD8" t="s">
        <v>157</v>
      </c>
      <c r="AE8" t="s">
        <v>158</v>
      </c>
      <c r="AF8" t="s">
        <v>159</v>
      </c>
      <c r="AG8" t="s">
        <v>160</v>
      </c>
      <c r="AH8" t="s">
        <v>161</v>
      </c>
      <c r="AI8" t="s">
        <v>162</v>
      </c>
      <c r="AJ8" t="s">
        <v>163</v>
      </c>
      <c r="AK8" t="s">
        <v>164</v>
      </c>
      <c r="AL8" t="s">
        <v>165</v>
      </c>
      <c r="AM8" t="s">
        <v>166</v>
      </c>
      <c r="AN8" t="s">
        <v>167</v>
      </c>
      <c r="AO8" t="s">
        <v>168</v>
      </c>
      <c r="AP8" t="s">
        <v>169</v>
      </c>
      <c r="AQ8" t="s">
        <v>170</v>
      </c>
      <c r="AR8" t="s">
        <v>171</v>
      </c>
      <c r="AS8" t="s">
        <v>172</v>
      </c>
      <c r="AT8" t="s">
        <v>173</v>
      </c>
      <c r="AU8" t="s">
        <v>174</v>
      </c>
      <c r="AV8" t="s">
        <v>175</v>
      </c>
      <c r="AW8" t="s">
        <v>176</v>
      </c>
      <c r="AX8" t="s">
        <v>177</v>
      </c>
      <c r="AY8" t="s">
        <v>178</v>
      </c>
      <c r="AZ8" t="s">
        <v>179</v>
      </c>
      <c r="BA8" t="s">
        <v>180</v>
      </c>
      <c r="BB8" t="s">
        <v>181</v>
      </c>
      <c r="BC8" t="s">
        <v>182</v>
      </c>
      <c r="BD8" t="s">
        <v>183</v>
      </c>
      <c r="BE8" t="s">
        <v>184</v>
      </c>
      <c r="BF8" t="s">
        <v>185</v>
      </c>
      <c r="BG8" t="s">
        <v>186</v>
      </c>
      <c r="BH8" t="s">
        <v>187</v>
      </c>
      <c r="BI8" t="s">
        <v>188</v>
      </c>
      <c r="BJ8" t="s">
        <v>189</v>
      </c>
      <c r="BK8" t="s">
        <v>190</v>
      </c>
      <c r="BL8" t="s">
        <v>191</v>
      </c>
      <c r="BM8" t="s">
        <v>192</v>
      </c>
      <c r="BN8" t="s">
        <v>193</v>
      </c>
      <c r="BO8" t="s">
        <v>194</v>
      </c>
      <c r="BP8" t="s">
        <v>195</v>
      </c>
      <c r="BQ8" t="s">
        <v>196</v>
      </c>
      <c r="BR8" t="s">
        <v>197</v>
      </c>
      <c r="BS8" t="s">
        <v>198</v>
      </c>
      <c r="BT8" t="s">
        <v>199</v>
      </c>
      <c r="BU8" t="s">
        <v>211</v>
      </c>
      <c r="BV8" t="s">
        <v>212</v>
      </c>
    </row>
    <row r="9">
      <c r="A9" t="s">
        <v>129</v>
      </c>
      <c r="B9" t="n">
        <v>20904163232.5377</v>
      </c>
      <c r="C9" t="n">
        <v>205363927.569939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657910.033908055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96349088.2267238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130</v>
      </c>
      <c r="B10" t="n">
        <v>460366.480007676</v>
      </c>
      <c r="C10" t="n">
        <v>2335717004.58343</v>
      </c>
      <c r="D10" t="n">
        <v>0</v>
      </c>
      <c r="E10" t="n">
        <v>0</v>
      </c>
      <c r="F10" t="n">
        <v>0</v>
      </c>
      <c r="G10" t="n">
        <v>0</v>
      </c>
      <c r="H10" t="n">
        <v>9978863.29675104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131</v>
      </c>
      <c r="B11" t="n">
        <v>0</v>
      </c>
      <c r="C11" t="n">
        <v>0</v>
      </c>
      <c r="D11" t="n">
        <v>167549799857.155</v>
      </c>
      <c r="E11" t="n">
        <v>27183239.8507464</v>
      </c>
      <c r="F11" t="n">
        <v>7977986278.43947</v>
      </c>
      <c r="G11" t="n">
        <v>0</v>
      </c>
      <c r="H11" t="n">
        <v>811147859.523721</v>
      </c>
      <c r="I11" t="n">
        <v>0</v>
      </c>
      <c r="J11" t="n">
        <v>0</v>
      </c>
      <c r="K11" t="n">
        <v>0</v>
      </c>
      <c r="L11" t="n">
        <v>0</v>
      </c>
      <c r="M11" t="n">
        <v>69187433.9141149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15543569013.9895</v>
      </c>
      <c r="Z11" t="n">
        <v>91043090.1507176</v>
      </c>
      <c r="AA11" t="n">
        <v>0</v>
      </c>
      <c r="AB11" t="n">
        <v>758236359.411162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78639110.2590322</v>
      </c>
      <c r="BB11" t="n">
        <v>435913092.670438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132</v>
      </c>
      <c r="B12" t="n">
        <v>0</v>
      </c>
      <c r="C12" t="n">
        <v>0</v>
      </c>
      <c r="D12" t="n">
        <v>0</v>
      </c>
      <c r="E12" t="n">
        <v>5620371129.68028</v>
      </c>
      <c r="F12" t="n">
        <v>367073641.854359</v>
      </c>
      <c r="G12" t="n">
        <v>0</v>
      </c>
      <c r="H12" t="n">
        <v>681073651.346281</v>
      </c>
      <c r="I12" t="n">
        <v>0</v>
      </c>
      <c r="J12" t="n">
        <v>12416714.5169688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3665921.95271376</v>
      </c>
      <c r="Z12" t="n">
        <v>75509773.1580617</v>
      </c>
      <c r="AA12" t="n">
        <v>0</v>
      </c>
      <c r="AB12" t="n">
        <v>27846573.2030377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170837.872411275</v>
      </c>
      <c r="BB12" t="n">
        <v>5637649.78957206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133</v>
      </c>
      <c r="B13" t="n">
        <v>0</v>
      </c>
      <c r="C13" t="n">
        <v>0</v>
      </c>
      <c r="D13" t="n">
        <v>107023191.182524</v>
      </c>
      <c r="E13" t="n">
        <v>0</v>
      </c>
      <c r="F13" t="n">
        <v>64382492750.5492</v>
      </c>
      <c r="G13" t="n">
        <v>0</v>
      </c>
      <c r="H13" t="n">
        <v>4285259988.0804</v>
      </c>
      <c r="I13" t="n">
        <v>0</v>
      </c>
      <c r="J13" t="n">
        <v>0</v>
      </c>
      <c r="K13" t="n">
        <v>0</v>
      </c>
      <c r="L13" t="n">
        <v>232857290.852671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25879201.5903256</v>
      </c>
      <c r="Z13" t="n">
        <v>0</v>
      </c>
      <c r="AA13" t="n">
        <v>0</v>
      </c>
      <c r="AB13" t="n">
        <v>237956035.71916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26154650.4777525</v>
      </c>
      <c r="BB13" t="n">
        <v>167697464.827943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134</v>
      </c>
      <c r="B14" t="n">
        <v>0</v>
      </c>
      <c r="C14" t="n">
        <v>0</v>
      </c>
      <c r="D14" t="n">
        <v>4811842.15624063</v>
      </c>
      <c r="E14" t="n">
        <v>0</v>
      </c>
      <c r="F14" t="n">
        <v>0</v>
      </c>
      <c r="G14" t="n">
        <v>47197597835.9081</v>
      </c>
      <c r="H14" t="n">
        <v>255886254.022381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140143768.644336</v>
      </c>
      <c r="AC14" t="n">
        <v>0</v>
      </c>
      <c r="AD14" t="n">
        <v>0</v>
      </c>
      <c r="AE14" t="n">
        <v>0</v>
      </c>
      <c r="AF14" t="n">
        <v>83955373.0771275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271312352.639002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38611992.2949373</v>
      </c>
      <c r="BB14" t="n">
        <v>11499455.3323905</v>
      </c>
      <c r="BC14" t="n">
        <v>0</v>
      </c>
      <c r="BD14" t="n">
        <v>0</v>
      </c>
      <c r="BE14" t="n">
        <v>493963.802642678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418000526.757057</v>
      </c>
      <c r="BU14" t="n">
        <v>0</v>
      </c>
      <c r="BV14" t="n">
        <v>0</v>
      </c>
    </row>
    <row r="15">
      <c r="A15" t="s">
        <v>135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177464203612.118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36993485.0292615</v>
      </c>
      <c r="BB15" t="n">
        <v>2356925.63898342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20620443.2212396</v>
      </c>
      <c r="I16" t="n">
        <v>5795736528.05801</v>
      </c>
      <c r="J16" t="n">
        <v>2519405.5411193</v>
      </c>
      <c r="K16" t="n">
        <v>0</v>
      </c>
      <c r="L16" t="n">
        <v>9631985.16476249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16303872.8460444</v>
      </c>
      <c r="S16" t="n">
        <v>0</v>
      </c>
      <c r="T16" t="n">
        <v>0</v>
      </c>
      <c r="U16" t="n">
        <v>0</v>
      </c>
      <c r="V16" t="n">
        <v>0</v>
      </c>
      <c r="W16" t="n">
        <v>254448.070368813</v>
      </c>
      <c r="X16" t="n">
        <v>0</v>
      </c>
      <c r="Y16" t="n">
        <v>0</v>
      </c>
      <c r="Z16" t="n">
        <v>383462.449548035</v>
      </c>
      <c r="AA16" t="n">
        <v>6225752.34275791</v>
      </c>
      <c r="AB16" t="n">
        <v>36085775.6371694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640748.235688237</v>
      </c>
      <c r="BB16" t="n">
        <v>3087241.49922514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8329727.06394708</v>
      </c>
      <c r="BV16" t="n">
        <v>0</v>
      </c>
    </row>
    <row r="17">
      <c r="A17" t="s">
        <v>137</v>
      </c>
      <c r="B17" t="n">
        <v>0</v>
      </c>
      <c r="C17" t="n">
        <v>0</v>
      </c>
      <c r="D17" t="n">
        <v>0</v>
      </c>
      <c r="E17" t="n">
        <v>31781674.8233634</v>
      </c>
      <c r="F17" t="n">
        <v>0</v>
      </c>
      <c r="G17" t="n">
        <v>0</v>
      </c>
      <c r="H17" t="n">
        <v>84818898.2669488</v>
      </c>
      <c r="I17" t="n">
        <v>2206762.93153939</v>
      </c>
      <c r="J17" t="n">
        <v>12600193289.2637</v>
      </c>
      <c r="K17" t="n">
        <v>121345.396037567</v>
      </c>
      <c r="L17" t="n">
        <v>4459965.03920461</v>
      </c>
      <c r="M17" t="n">
        <v>453736.169593283</v>
      </c>
      <c r="N17" t="n">
        <v>0</v>
      </c>
      <c r="O17" t="n">
        <v>25805716.5592871</v>
      </c>
      <c r="P17" t="n">
        <v>627740.938898158</v>
      </c>
      <c r="Q17" t="n">
        <v>21752.1908558698</v>
      </c>
      <c r="R17" t="n">
        <v>9308240.82514738</v>
      </c>
      <c r="S17" t="n">
        <v>681381.13899775</v>
      </c>
      <c r="T17" t="n">
        <v>0</v>
      </c>
      <c r="U17" t="n">
        <v>2075627.54414499</v>
      </c>
      <c r="V17" t="n">
        <v>1030183.67097898</v>
      </c>
      <c r="W17" t="n">
        <v>1758922.5930839</v>
      </c>
      <c r="X17" t="n">
        <v>0</v>
      </c>
      <c r="Y17" t="n">
        <v>4179362.19746619</v>
      </c>
      <c r="Z17" t="n">
        <v>3429504.20054495</v>
      </c>
      <c r="AA17" t="n">
        <v>37457795.9353528</v>
      </c>
      <c r="AB17" t="n">
        <v>122477081.31493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3695429.17760565</v>
      </c>
      <c r="BB17" t="n">
        <v>76108243.7768784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351945.635962443</v>
      </c>
      <c r="BV17" t="n">
        <v>0</v>
      </c>
    </row>
    <row r="18">
      <c r="A18" t="s">
        <v>138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5370680.78541799</v>
      </c>
      <c r="I18" t="n">
        <v>0</v>
      </c>
      <c r="J18" t="n">
        <v>2439002.28109863</v>
      </c>
      <c r="K18" t="n">
        <v>10679888863.1697</v>
      </c>
      <c r="L18" t="n">
        <v>51745445.9749466</v>
      </c>
      <c r="M18" t="n">
        <v>4204875.29540601</v>
      </c>
      <c r="N18" t="n">
        <v>13024.665509998</v>
      </c>
      <c r="O18" t="n">
        <v>14697210.151176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42890.8675229389</v>
      </c>
      <c r="V18" t="n">
        <v>0</v>
      </c>
      <c r="W18" t="n">
        <v>19962.9569488628</v>
      </c>
      <c r="X18" t="n">
        <v>0</v>
      </c>
      <c r="Y18" t="n">
        <v>15001041.6790966</v>
      </c>
      <c r="Z18" t="n">
        <v>2968872.1337534</v>
      </c>
      <c r="AA18" t="n">
        <v>0</v>
      </c>
      <c r="AB18" t="n">
        <v>21264402.7845411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2095875.4284558</v>
      </c>
      <c r="BB18" t="n">
        <v>10282888.8208613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11199834.3208107</v>
      </c>
      <c r="BV18" t="n">
        <v>0</v>
      </c>
    </row>
    <row r="19">
      <c r="A19" t="s">
        <v>139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155392498.308291</v>
      </c>
      <c r="I19" t="n">
        <v>19623134.2191987</v>
      </c>
      <c r="J19" t="n">
        <v>12524575.1565636</v>
      </c>
      <c r="K19" t="n">
        <v>285005451.511702</v>
      </c>
      <c r="L19" t="n">
        <v>33049472424.7197</v>
      </c>
      <c r="M19" t="n">
        <v>134760869.638621</v>
      </c>
      <c r="N19" t="n">
        <v>16914293.4778805</v>
      </c>
      <c r="O19" t="n">
        <v>29857232.8812051</v>
      </c>
      <c r="P19" t="n">
        <v>16370945.0088375</v>
      </c>
      <c r="Q19" t="n">
        <v>3677629.10967414</v>
      </c>
      <c r="R19" t="n">
        <v>3397757.00938328</v>
      </c>
      <c r="S19" t="n">
        <v>12597686.0467638</v>
      </c>
      <c r="T19" t="n">
        <v>0</v>
      </c>
      <c r="U19" t="n">
        <v>6281713.03384679</v>
      </c>
      <c r="V19" t="n">
        <v>0</v>
      </c>
      <c r="W19" t="n">
        <v>51599.5589293197</v>
      </c>
      <c r="X19" t="n">
        <v>3984423.03354593</v>
      </c>
      <c r="Y19" t="n">
        <v>90034.4832626803</v>
      </c>
      <c r="Z19" t="n">
        <v>1460389.94639686</v>
      </c>
      <c r="AA19" t="n">
        <v>89383207.0871924</v>
      </c>
      <c r="AB19" t="n">
        <v>218733105.650397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18984603.8657189</v>
      </c>
      <c r="BB19" t="n">
        <v>171447379.355226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23672160.3757729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199748501.784678</v>
      </c>
      <c r="BV19" t="n">
        <v>0</v>
      </c>
    </row>
    <row r="20">
      <c r="A20" t="s">
        <v>140</v>
      </c>
      <c r="B20" t="n">
        <v>0</v>
      </c>
      <c r="C20" t="n">
        <v>0</v>
      </c>
      <c r="D20" t="n">
        <v>0</v>
      </c>
      <c r="E20" t="n">
        <v>0</v>
      </c>
      <c r="F20" t="n">
        <v>97451.3666797416</v>
      </c>
      <c r="G20" t="n">
        <v>0</v>
      </c>
      <c r="H20" t="n">
        <v>64122999.2752699</v>
      </c>
      <c r="I20" t="n">
        <v>0</v>
      </c>
      <c r="J20" t="n">
        <v>3809187.83099082</v>
      </c>
      <c r="K20" t="n">
        <v>2138448.27277898</v>
      </c>
      <c r="L20" t="n">
        <v>227215480.914958</v>
      </c>
      <c r="M20" t="n">
        <v>40247010877.4762</v>
      </c>
      <c r="N20" t="n">
        <v>29065159.5293797</v>
      </c>
      <c r="O20" t="n">
        <v>274714946.702923</v>
      </c>
      <c r="P20" t="n">
        <v>30165396.7390787</v>
      </c>
      <c r="Q20" t="n">
        <v>18586629.4802622</v>
      </c>
      <c r="R20" t="n">
        <v>838006.705912901</v>
      </c>
      <c r="S20" t="n">
        <v>7458369.62359071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7043232.51661952</v>
      </c>
      <c r="AA20" t="n">
        <v>3243259.79706576</v>
      </c>
      <c r="AB20" t="n">
        <v>493396269.499532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1266867.76683664</v>
      </c>
      <c r="AZ20" t="n">
        <v>0</v>
      </c>
      <c r="BA20" t="n">
        <v>60907104.1748385</v>
      </c>
      <c r="BB20" t="n">
        <v>886125277.21889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30209923.6707199</v>
      </c>
      <c r="BV20" t="n">
        <v>0</v>
      </c>
    </row>
    <row r="21">
      <c r="A21" t="s">
        <v>141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2521374.39371378</v>
      </c>
      <c r="I21" t="n">
        <v>0</v>
      </c>
      <c r="J21" t="n">
        <v>552176.286605817</v>
      </c>
      <c r="K21" t="n">
        <v>3292195.37253637</v>
      </c>
      <c r="L21" t="n">
        <v>6303990.85849757</v>
      </c>
      <c r="M21" t="n">
        <v>17716590.0171209</v>
      </c>
      <c r="N21" t="n">
        <v>28093913197.5495</v>
      </c>
      <c r="O21" t="n">
        <v>28526774.6483429</v>
      </c>
      <c r="P21" t="n">
        <v>93658.1681870017</v>
      </c>
      <c r="Q21" t="n">
        <v>19354070.5699785</v>
      </c>
      <c r="R21" t="n">
        <v>0</v>
      </c>
      <c r="S21" t="n">
        <v>91020778.7788361</v>
      </c>
      <c r="T21" t="n">
        <v>0</v>
      </c>
      <c r="U21" t="n">
        <v>396083.980290879</v>
      </c>
      <c r="V21" t="n">
        <v>0</v>
      </c>
      <c r="W21" t="n">
        <v>25994.2422644411</v>
      </c>
      <c r="X21" t="n">
        <v>44234.6384862067</v>
      </c>
      <c r="Y21" t="n">
        <v>0</v>
      </c>
      <c r="Z21" t="n">
        <v>5956925.73053326</v>
      </c>
      <c r="AA21" t="n">
        <v>11713998.8756694</v>
      </c>
      <c r="AB21" t="n">
        <v>112002104.647075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51754527.0288619</v>
      </c>
      <c r="BB21" t="n">
        <v>2351380678.01129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997853.114791287</v>
      </c>
      <c r="I22" t="n">
        <v>0</v>
      </c>
      <c r="J22" t="n">
        <v>1564987.75819904</v>
      </c>
      <c r="K22" t="n">
        <v>11897900.1773215</v>
      </c>
      <c r="L22" t="n">
        <v>3745955.92099334</v>
      </c>
      <c r="M22" t="n">
        <v>4068852.8908058</v>
      </c>
      <c r="N22" t="n">
        <v>1812701.38837494</v>
      </c>
      <c r="O22" t="n">
        <v>6503025144.50761</v>
      </c>
      <c r="P22" t="n">
        <v>1432276.10354285</v>
      </c>
      <c r="Q22" t="n">
        <v>0</v>
      </c>
      <c r="R22" t="n">
        <v>113789.207062948</v>
      </c>
      <c r="S22" t="n">
        <v>197951.82360335</v>
      </c>
      <c r="T22" t="n">
        <v>0</v>
      </c>
      <c r="U22" t="n">
        <v>0</v>
      </c>
      <c r="V22" t="n">
        <v>0</v>
      </c>
      <c r="W22" t="n">
        <v>570710.377954666</v>
      </c>
      <c r="X22" t="n">
        <v>0</v>
      </c>
      <c r="Y22" t="n">
        <v>38782.4890033264</v>
      </c>
      <c r="Z22" t="n">
        <v>8363.93024332556</v>
      </c>
      <c r="AA22" t="n">
        <v>3852050.17918629</v>
      </c>
      <c r="AB22" t="n">
        <v>29887504.1370017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2236152.76326722</v>
      </c>
      <c r="BB22" t="n">
        <v>34504077.5837469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49312816.6348663</v>
      </c>
      <c r="I23" t="n">
        <v>0</v>
      </c>
      <c r="J23" t="n">
        <v>0</v>
      </c>
      <c r="K23" t="n">
        <v>6982196.48831324</v>
      </c>
      <c r="L23" t="n">
        <v>184362314.004632</v>
      </c>
      <c r="M23" t="n">
        <v>120942104.17937</v>
      </c>
      <c r="N23" t="n">
        <v>3235606.16322616</v>
      </c>
      <c r="O23" t="n">
        <v>40252232.8723814</v>
      </c>
      <c r="P23" t="n">
        <v>58197343858.8805</v>
      </c>
      <c r="Q23" t="n">
        <v>81365853.7236193</v>
      </c>
      <c r="R23" t="n">
        <v>0</v>
      </c>
      <c r="S23" t="n">
        <v>2165580.62336355</v>
      </c>
      <c r="T23" t="n">
        <v>0</v>
      </c>
      <c r="U23" t="n">
        <v>59541375.7763587</v>
      </c>
      <c r="V23" t="n">
        <v>0</v>
      </c>
      <c r="W23" t="n">
        <v>0</v>
      </c>
      <c r="X23" t="n">
        <v>0</v>
      </c>
      <c r="Y23" t="n">
        <v>0</v>
      </c>
      <c r="Z23" t="n">
        <v>612053.685721893</v>
      </c>
      <c r="AA23" t="n">
        <v>52463053.6537734</v>
      </c>
      <c r="AB23" t="n">
        <v>276972167.211383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24968514.751831</v>
      </c>
      <c r="BB23" t="n">
        <v>1285432643.38444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32994108.7792053</v>
      </c>
      <c r="BV23" t="n">
        <v>0</v>
      </c>
    </row>
    <row r="24">
      <c r="A24" t="s">
        <v>144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55250965.0300276</v>
      </c>
      <c r="I24" t="n">
        <v>0</v>
      </c>
      <c r="J24" t="n">
        <v>0</v>
      </c>
      <c r="K24" t="n">
        <v>79095.7157078276</v>
      </c>
      <c r="L24" t="n">
        <v>17560402.1991393</v>
      </c>
      <c r="M24" t="n">
        <v>19975707.8933753</v>
      </c>
      <c r="N24" t="n">
        <v>31056644.6309348</v>
      </c>
      <c r="O24" t="n">
        <v>60023048.6216217</v>
      </c>
      <c r="P24" t="n">
        <v>45797798.0565704</v>
      </c>
      <c r="Q24" t="n">
        <v>30375811196.6217</v>
      </c>
      <c r="R24" t="n">
        <v>0</v>
      </c>
      <c r="S24" t="n">
        <v>931428.585244335</v>
      </c>
      <c r="T24" t="n">
        <v>0</v>
      </c>
      <c r="U24" t="n">
        <v>0</v>
      </c>
      <c r="V24" t="n">
        <v>44377.6305196369</v>
      </c>
      <c r="W24" t="n">
        <v>0</v>
      </c>
      <c r="X24" t="n">
        <v>0</v>
      </c>
      <c r="Y24" t="n">
        <v>0</v>
      </c>
      <c r="Z24" t="n">
        <v>894736.319745324</v>
      </c>
      <c r="AA24" t="n">
        <v>18229812.4034003</v>
      </c>
      <c r="AB24" t="n">
        <v>89854510.602467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36451617.0671001</v>
      </c>
      <c r="BB24" t="n">
        <v>898162746.405085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2549064.13056644</v>
      </c>
      <c r="BV24" t="n">
        <v>0</v>
      </c>
    </row>
    <row r="25">
      <c r="A25" t="s">
        <v>145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11908394.2834816</v>
      </c>
      <c r="I25" t="n">
        <v>14762019.4662606</v>
      </c>
      <c r="J25" t="n">
        <v>857523.011733133</v>
      </c>
      <c r="K25" t="n">
        <v>946180.775435837</v>
      </c>
      <c r="L25" t="n">
        <v>4079374.27172918</v>
      </c>
      <c r="M25" t="n">
        <v>1350312.81255534</v>
      </c>
      <c r="N25" t="n">
        <v>184948.707992426</v>
      </c>
      <c r="O25" t="n">
        <v>2164941.36963365</v>
      </c>
      <c r="P25" t="n">
        <v>0</v>
      </c>
      <c r="Q25" t="n">
        <v>0</v>
      </c>
      <c r="R25" t="n">
        <v>4016542945.83034</v>
      </c>
      <c r="S25" t="n">
        <v>5640595.55279709</v>
      </c>
      <c r="T25" t="n">
        <v>0</v>
      </c>
      <c r="U25" t="n">
        <v>2394599.108442</v>
      </c>
      <c r="V25" t="n">
        <v>34242.9976915719</v>
      </c>
      <c r="W25" t="n">
        <v>27129.7505783</v>
      </c>
      <c r="X25" t="n">
        <v>202819.367358567</v>
      </c>
      <c r="Y25" t="n">
        <v>0</v>
      </c>
      <c r="Z25" t="n">
        <v>192132.55015848</v>
      </c>
      <c r="AA25" t="n">
        <v>1071916.10955834</v>
      </c>
      <c r="AB25" t="n">
        <v>24888833.7944298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1738451.72021629</v>
      </c>
      <c r="BB25" t="n">
        <v>7852006.93631023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14137508.4568963</v>
      </c>
      <c r="I26" t="n">
        <v>2512687.68106306</v>
      </c>
      <c r="J26" t="n">
        <v>739773.640590241</v>
      </c>
      <c r="K26" t="n">
        <v>239175.923197671</v>
      </c>
      <c r="L26" t="n">
        <v>22838542.6554487</v>
      </c>
      <c r="M26" t="n">
        <v>3261510.10402622</v>
      </c>
      <c r="N26" t="n">
        <v>11606250.8799139</v>
      </c>
      <c r="O26" t="n">
        <v>1925788.00957644</v>
      </c>
      <c r="P26" t="n">
        <v>90037.1634840774</v>
      </c>
      <c r="Q26" t="n">
        <v>315994.511511388</v>
      </c>
      <c r="R26" t="n">
        <v>7318686.53479069</v>
      </c>
      <c r="S26" t="n">
        <v>5932601532.18342</v>
      </c>
      <c r="T26" t="n">
        <v>56406.7232966417</v>
      </c>
      <c r="U26" t="n">
        <v>1531284.37078979</v>
      </c>
      <c r="V26" t="n">
        <v>8681329.51385468</v>
      </c>
      <c r="W26" t="n">
        <v>943183.562106492</v>
      </c>
      <c r="X26" t="n">
        <v>8833301.24810563</v>
      </c>
      <c r="Y26" t="n">
        <v>5243.11921378741</v>
      </c>
      <c r="Z26" t="n">
        <v>2728882.45572748</v>
      </c>
      <c r="AA26" t="n">
        <v>27610907.1430978</v>
      </c>
      <c r="AB26" t="n">
        <v>118552200.961418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7438569.47208895</v>
      </c>
      <c r="BB26" t="n">
        <v>287103422.86307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6566739.6279143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135890.272909643</v>
      </c>
      <c r="T27" t="n">
        <v>57370177728.2903</v>
      </c>
      <c r="U27" t="n">
        <v>0</v>
      </c>
      <c r="V27" t="n">
        <v>8636563.18230049</v>
      </c>
      <c r="W27" t="n">
        <v>1109940.11312482</v>
      </c>
      <c r="X27" t="n">
        <v>0</v>
      </c>
      <c r="Y27" t="n">
        <v>309706.230637065</v>
      </c>
      <c r="Z27" t="n">
        <v>49272364.7967236</v>
      </c>
      <c r="AA27" t="n">
        <v>0</v>
      </c>
      <c r="AB27" t="n">
        <v>440568531.400068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5111609.82400147</v>
      </c>
      <c r="BB27" t="n">
        <v>107604983.448323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399200.86372044</v>
      </c>
      <c r="I28" t="n">
        <v>0</v>
      </c>
      <c r="J28" t="n">
        <v>17072.1105806137</v>
      </c>
      <c r="K28" t="n">
        <v>0</v>
      </c>
      <c r="L28" t="n">
        <v>965672.378360578</v>
      </c>
      <c r="M28" t="n">
        <v>47915.9378864976</v>
      </c>
      <c r="N28" t="n">
        <v>144868.793356871</v>
      </c>
      <c r="O28" t="n">
        <v>0</v>
      </c>
      <c r="P28" t="n">
        <v>2356420.5418328</v>
      </c>
      <c r="Q28" t="n">
        <v>0</v>
      </c>
      <c r="R28" t="n">
        <v>472966.833426367</v>
      </c>
      <c r="S28" t="n">
        <v>193125.820152236</v>
      </c>
      <c r="T28" t="n">
        <v>0</v>
      </c>
      <c r="U28" t="n">
        <v>1292157216.15358</v>
      </c>
      <c r="V28" t="n">
        <v>612219.683419153</v>
      </c>
      <c r="W28" t="n">
        <v>11033.207297891</v>
      </c>
      <c r="X28" t="n">
        <v>1415348.51682702</v>
      </c>
      <c r="Y28" t="n">
        <v>0</v>
      </c>
      <c r="Z28" t="n">
        <v>17979358.7518689</v>
      </c>
      <c r="AA28" t="n">
        <v>13978541.2103635</v>
      </c>
      <c r="AB28" t="n">
        <v>4726901.13632612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108872.962832847</v>
      </c>
      <c r="BB28" t="n">
        <v>2558514.62657191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104329.192107455</v>
      </c>
      <c r="I29" t="n">
        <v>0</v>
      </c>
      <c r="J29" t="n">
        <v>1940339.92806776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1199848.41522837</v>
      </c>
      <c r="T29" t="n">
        <v>35022432.749048</v>
      </c>
      <c r="U29" t="n">
        <v>11418341.0594983</v>
      </c>
      <c r="V29" t="n">
        <v>862572679.016431</v>
      </c>
      <c r="W29" t="n">
        <v>0</v>
      </c>
      <c r="X29" t="n">
        <v>886798.13291337</v>
      </c>
      <c r="Y29" t="n">
        <v>0</v>
      </c>
      <c r="Z29" t="n">
        <v>6502974.36904098</v>
      </c>
      <c r="AA29" t="n">
        <v>335582.117606003</v>
      </c>
      <c r="AB29" t="n">
        <v>19561723.5201479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938962.728967098</v>
      </c>
      <c r="BB29" t="n">
        <v>12154350.8805185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3499998.28620596</v>
      </c>
      <c r="I30" t="n">
        <v>19643681.0896717</v>
      </c>
      <c r="J30" t="n">
        <v>304086.810060505</v>
      </c>
      <c r="K30" t="n">
        <v>0</v>
      </c>
      <c r="L30" t="n">
        <v>0</v>
      </c>
      <c r="M30" t="n">
        <v>0</v>
      </c>
      <c r="N30" t="n">
        <v>1488671.02661251</v>
      </c>
      <c r="O30" t="n">
        <v>0</v>
      </c>
      <c r="P30" t="n">
        <v>0</v>
      </c>
      <c r="Q30" t="n">
        <v>0</v>
      </c>
      <c r="R30" t="n">
        <v>0</v>
      </c>
      <c r="S30" t="n">
        <v>323292.911292143</v>
      </c>
      <c r="T30" t="n">
        <v>0</v>
      </c>
      <c r="U30" t="n">
        <v>9239258.30303415</v>
      </c>
      <c r="V30" t="n">
        <v>0</v>
      </c>
      <c r="W30" t="n">
        <v>7905469607.67854</v>
      </c>
      <c r="X30" t="n">
        <v>7765621.19751949</v>
      </c>
      <c r="Y30" t="n">
        <v>0</v>
      </c>
      <c r="Z30" t="n">
        <v>492590.066578392</v>
      </c>
      <c r="AA30" t="n">
        <v>31542878.5750441</v>
      </c>
      <c r="AB30" t="n">
        <v>46520810.5541543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2005207.35147217</v>
      </c>
      <c r="BB30" t="n">
        <v>29057277.4386058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17791657.9548803</v>
      </c>
      <c r="BV30" t="n">
        <v>0</v>
      </c>
    </row>
    <row r="31">
      <c r="A31" t="s">
        <v>151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793094.565307428</v>
      </c>
      <c r="I31" t="n">
        <v>1159968.43314934</v>
      </c>
      <c r="J31" t="n">
        <v>0</v>
      </c>
      <c r="K31" t="n">
        <v>0</v>
      </c>
      <c r="L31" t="n">
        <v>7108475.72460633</v>
      </c>
      <c r="M31" t="n">
        <v>3080865.08695297</v>
      </c>
      <c r="N31" t="n">
        <v>356759.59760672</v>
      </c>
      <c r="O31" t="n">
        <v>1883115.5502879</v>
      </c>
      <c r="P31" t="n">
        <v>0</v>
      </c>
      <c r="Q31" t="n">
        <v>0</v>
      </c>
      <c r="R31" t="n">
        <v>1084470.21311669</v>
      </c>
      <c r="S31" t="n">
        <v>42766460.6751714</v>
      </c>
      <c r="T31" t="n">
        <v>0</v>
      </c>
      <c r="U31" t="n">
        <v>26030818.9228535</v>
      </c>
      <c r="V31" t="n">
        <v>206837.233401785</v>
      </c>
      <c r="W31" t="n">
        <v>23811265.9820425</v>
      </c>
      <c r="X31" t="n">
        <v>2842544227.3048</v>
      </c>
      <c r="Y31" t="n">
        <v>0</v>
      </c>
      <c r="Z31" t="n">
        <v>0</v>
      </c>
      <c r="AA31" t="n">
        <v>28426748.6580884</v>
      </c>
      <c r="AB31" t="n">
        <v>32283614.0701612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8863998.08284773</v>
      </c>
      <c r="BB31" t="n">
        <v>774013643.118561</v>
      </c>
      <c r="BC31" t="n">
        <v>0</v>
      </c>
      <c r="BD31" t="n">
        <v>13062734.0168282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7417766.81669889</v>
      </c>
      <c r="BV31" t="n">
        <v>0</v>
      </c>
    </row>
    <row r="32">
      <c r="A32" t="s">
        <v>152</v>
      </c>
      <c r="B32" t="n">
        <v>0</v>
      </c>
      <c r="C32" t="n">
        <v>0</v>
      </c>
      <c r="D32" t="n">
        <v>77975.7876166175</v>
      </c>
      <c r="E32" t="n">
        <v>5050341.27026113</v>
      </c>
      <c r="F32" t="n">
        <v>0</v>
      </c>
      <c r="G32" t="n">
        <v>0</v>
      </c>
      <c r="H32" t="n">
        <v>43161191.405365</v>
      </c>
      <c r="I32" t="n">
        <v>0</v>
      </c>
      <c r="J32" t="n">
        <v>29007341.3622756</v>
      </c>
      <c r="K32" t="n">
        <v>23145352.0729749</v>
      </c>
      <c r="L32" t="n">
        <v>0</v>
      </c>
      <c r="M32" t="n">
        <v>0</v>
      </c>
      <c r="N32" t="n">
        <v>0</v>
      </c>
      <c r="O32" t="n">
        <v>2630868.70537854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140227164412.631</v>
      </c>
      <c r="Z32" t="n">
        <v>4293654258.93333</v>
      </c>
      <c r="AA32" t="n">
        <v>0</v>
      </c>
      <c r="AB32" t="n">
        <v>1925700754.88883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6961482.48473629</v>
      </c>
      <c r="BB32" t="n">
        <v>109217925.204974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16862359.0495043</v>
      </c>
      <c r="I33" t="n">
        <v>371471.33078586</v>
      </c>
      <c r="J33" t="n">
        <v>9444887.36485526</v>
      </c>
      <c r="K33" t="n">
        <v>599194.735672739</v>
      </c>
      <c r="L33" t="n">
        <v>6107813.03190577</v>
      </c>
      <c r="M33" t="n">
        <v>14158571.6881533</v>
      </c>
      <c r="N33" t="n">
        <v>100771192.216613</v>
      </c>
      <c r="O33" t="n">
        <v>8877048.35673812</v>
      </c>
      <c r="P33" t="n">
        <v>29784.0730680163</v>
      </c>
      <c r="Q33" t="n">
        <v>0</v>
      </c>
      <c r="R33" t="n">
        <v>0</v>
      </c>
      <c r="S33" t="n">
        <v>343317269.988553</v>
      </c>
      <c r="T33" t="n">
        <v>895390136.299703</v>
      </c>
      <c r="U33" t="n">
        <v>187382.828552086</v>
      </c>
      <c r="V33" t="n">
        <v>8378176.00135081</v>
      </c>
      <c r="W33" t="n">
        <v>12790525.3178266</v>
      </c>
      <c r="X33" t="n">
        <v>0</v>
      </c>
      <c r="Y33" t="n">
        <v>422540953.045332</v>
      </c>
      <c r="Z33" t="n">
        <v>86449460335.9594</v>
      </c>
      <c r="AA33" t="n">
        <v>487034474.790965</v>
      </c>
      <c r="AB33" t="n">
        <v>1252799040.57732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44648133.080763</v>
      </c>
      <c r="BB33" t="n">
        <v>6256147312.51138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2389195.41954852</v>
      </c>
      <c r="I34" t="n">
        <v>5625084.53075856</v>
      </c>
      <c r="J34" t="n">
        <v>580069.326888656</v>
      </c>
      <c r="K34" t="n">
        <v>168387.088442891</v>
      </c>
      <c r="L34" t="n">
        <v>12126672.3827496</v>
      </c>
      <c r="M34" t="n">
        <v>4931128.89056793</v>
      </c>
      <c r="N34" t="n">
        <v>1907836.80724839</v>
      </c>
      <c r="O34" t="n">
        <v>14001359.2913913</v>
      </c>
      <c r="P34" t="n">
        <v>8834358.64115471</v>
      </c>
      <c r="Q34" t="n">
        <v>467689.680047783</v>
      </c>
      <c r="R34" t="n">
        <v>4120587.47507955</v>
      </c>
      <c r="S34" t="n">
        <v>28644074.3120218</v>
      </c>
      <c r="T34" t="n">
        <v>0</v>
      </c>
      <c r="U34" t="n">
        <v>18656751.1743836</v>
      </c>
      <c r="V34" t="n">
        <v>0</v>
      </c>
      <c r="W34" t="n">
        <v>9906605.16358796</v>
      </c>
      <c r="X34" t="n">
        <v>907523.841533936</v>
      </c>
      <c r="Y34" t="n">
        <v>54611.5022367466</v>
      </c>
      <c r="Z34" t="n">
        <v>20564325.478765</v>
      </c>
      <c r="AA34" t="n">
        <v>15190764765.6973</v>
      </c>
      <c r="AB34" t="n">
        <v>38597544.60728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3333761.05053283</v>
      </c>
      <c r="BB34" t="n">
        <v>31541083.7169856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3815304.31338757</v>
      </c>
      <c r="BV34" t="n">
        <v>0</v>
      </c>
    </row>
    <row r="35">
      <c r="A35" t="s">
        <v>155</v>
      </c>
      <c r="B35" t="n">
        <v>0</v>
      </c>
      <c r="C35" t="n">
        <v>6330198.29881142</v>
      </c>
      <c r="D35" t="n">
        <v>0</v>
      </c>
      <c r="E35" t="n">
        <v>0</v>
      </c>
      <c r="F35" t="n">
        <v>0</v>
      </c>
      <c r="G35" t="n">
        <v>0</v>
      </c>
      <c r="H35" t="n">
        <v>722033187.56505</v>
      </c>
      <c r="I35" t="n">
        <v>0</v>
      </c>
      <c r="J35" t="n">
        <v>0</v>
      </c>
      <c r="K35" t="n">
        <v>0</v>
      </c>
      <c r="L35" t="n">
        <v>0</v>
      </c>
      <c r="M35" t="n">
        <v>101877.599149976</v>
      </c>
      <c r="N35" t="n">
        <v>0</v>
      </c>
      <c r="O35" t="n">
        <v>0</v>
      </c>
      <c r="P35" t="n">
        <v>1667244.76304829</v>
      </c>
      <c r="Q35" t="n">
        <v>0</v>
      </c>
      <c r="R35" t="n">
        <v>0</v>
      </c>
      <c r="S35" t="n">
        <v>611837.313393689</v>
      </c>
      <c r="T35" t="n">
        <v>129101440.5784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245873025821.412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8336496.07195055</v>
      </c>
      <c r="AM35" t="n">
        <v>65070983.2282807</v>
      </c>
      <c r="AN35" t="n">
        <v>40871987.6860909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1489569749.52283</v>
      </c>
      <c r="AZ35" t="n">
        <v>0</v>
      </c>
      <c r="BA35" t="n">
        <v>835270592.542379</v>
      </c>
      <c r="BB35" t="n">
        <v>99111675.5220788</v>
      </c>
      <c r="BC35" t="n">
        <v>0</v>
      </c>
      <c r="BD35" t="n">
        <v>3010401.35931548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9228269582.31393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615312.760166177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31824488716.4281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381391359.176335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18869591.3117628</v>
      </c>
      <c r="AZ36" t="n">
        <v>0</v>
      </c>
      <c r="BA36" t="n">
        <v>8306722.26224339</v>
      </c>
      <c r="BB36" t="n">
        <v>410208.506777451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10255212.6694363</v>
      </c>
      <c r="BM36" t="n">
        <v>0</v>
      </c>
      <c r="BN36" t="n">
        <v>0</v>
      </c>
      <c r="BO36" t="n">
        <v>5830806267.46139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770079790.197776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23453778431.4972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3567085.26480266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482038.549297657</v>
      </c>
      <c r="AZ37" t="n">
        <v>0</v>
      </c>
      <c r="BA37" t="n">
        <v>964077.098595314</v>
      </c>
      <c r="BB37" t="n">
        <v>96407.7098595314</v>
      </c>
      <c r="BC37" t="n">
        <v>0</v>
      </c>
      <c r="BD37" t="n">
        <v>192815.419719063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96407.7098595314</v>
      </c>
      <c r="BM37" t="n">
        <v>0</v>
      </c>
      <c r="BN37" t="n">
        <v>1083140620.27184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182400928.615248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224391345.916204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25343057853.1071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110012.622807749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919375488.80436</v>
      </c>
      <c r="BO38" t="n">
        <v>215734753.325996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159</v>
      </c>
      <c r="B39" t="n">
        <v>15363780.8593948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302902702.480262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154025172.44707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73267434342.5421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34950311.8246457</v>
      </c>
      <c r="AQ39" t="n">
        <v>0</v>
      </c>
      <c r="AR39" t="n">
        <v>0</v>
      </c>
      <c r="AS39" t="n">
        <v>21774599.0336086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87029050.2776395</v>
      </c>
      <c r="AZ39" t="n">
        <v>0</v>
      </c>
      <c r="BA39" t="n">
        <v>125516000.798827</v>
      </c>
      <c r="BB39" t="n">
        <v>531744029.903538</v>
      </c>
      <c r="BC39" t="n">
        <v>0</v>
      </c>
      <c r="BD39" t="n">
        <v>7489352.53385264</v>
      </c>
      <c r="BE39" t="n">
        <v>0</v>
      </c>
      <c r="BF39" t="n">
        <v>7697390.10423744</v>
      </c>
      <c r="BG39" t="n">
        <v>346729.283974659</v>
      </c>
      <c r="BH39" t="n">
        <v>0</v>
      </c>
      <c r="BI39" t="n">
        <v>0</v>
      </c>
      <c r="BJ39" t="n">
        <v>0</v>
      </c>
      <c r="BK39" t="n">
        <v>0</v>
      </c>
      <c r="BL39" t="n">
        <v>24825816.7325856</v>
      </c>
      <c r="BM39" t="n">
        <v>0</v>
      </c>
      <c r="BN39" t="n">
        <v>1378179557.94248</v>
      </c>
      <c r="BO39" t="n">
        <v>961549650.318526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160</v>
      </c>
      <c r="B40" t="n">
        <v>0</v>
      </c>
      <c r="C40" t="n">
        <v>41904770.7156022</v>
      </c>
      <c r="D40" t="n">
        <v>0</v>
      </c>
      <c r="E40" t="n">
        <v>0</v>
      </c>
      <c r="F40" t="n">
        <v>0</v>
      </c>
      <c r="G40" t="n">
        <v>0</v>
      </c>
      <c r="H40" t="n">
        <v>3710045.1274099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30061483836.9131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160206494.138155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61946511.0667531</v>
      </c>
      <c r="AZ40" t="n">
        <v>0</v>
      </c>
      <c r="BA40" t="n">
        <v>27431848.8208489</v>
      </c>
      <c r="BB40" t="n">
        <v>207312824.695268</v>
      </c>
      <c r="BC40" t="n">
        <v>0</v>
      </c>
      <c r="BD40" t="n">
        <v>0</v>
      </c>
      <c r="BE40" t="n">
        <v>0</v>
      </c>
      <c r="BF40" t="n">
        <v>0</v>
      </c>
      <c r="BG40" t="n">
        <v>8431920.7441134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14502446.6288486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7279267202.18248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47788182.5661456</v>
      </c>
      <c r="AZ41" t="n">
        <v>0</v>
      </c>
      <c r="BA41" t="n">
        <v>9085870.17710995</v>
      </c>
      <c r="BB41" t="n">
        <v>62028536.7860391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59365.9385269669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3429035975.25614</v>
      </c>
      <c r="AJ42" t="n">
        <v>0</v>
      </c>
      <c r="AK42" t="n">
        <v>0</v>
      </c>
      <c r="AL42" t="n">
        <v>0</v>
      </c>
      <c r="AM42" t="n">
        <v>160347399.961338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949855.016431471</v>
      </c>
      <c r="BB42" t="n">
        <v>4571177.26657645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19412661.8983182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4696151.81653363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38440248603.9792</v>
      </c>
      <c r="AK43" t="n">
        <v>0</v>
      </c>
      <c r="AL43" t="n">
        <v>0</v>
      </c>
      <c r="AM43" t="n">
        <v>2111736963.58692</v>
      </c>
      <c r="AN43" t="n">
        <v>663790850.241341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34812777.5964776</v>
      </c>
      <c r="AZ43" t="n">
        <v>0</v>
      </c>
      <c r="BA43" t="n">
        <v>11434108.7706906</v>
      </c>
      <c r="BB43" t="n">
        <v>58599807.4497892</v>
      </c>
      <c r="BC43" t="n">
        <v>0</v>
      </c>
      <c r="BD43" t="n">
        <v>0</v>
      </c>
      <c r="BE43" t="n">
        <v>471454367.581539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2137839714.00177</v>
      </c>
      <c r="AL44" t="n">
        <v>0</v>
      </c>
      <c r="AM44" t="n">
        <v>234474.381625442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39079.0636042403</v>
      </c>
      <c r="BB44" t="n">
        <v>2461981.00706714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54491978.7195765</v>
      </c>
      <c r="H45" t="n">
        <v>35514672.6978334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16482874697.3708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9217548.63913234</v>
      </c>
      <c r="BB45" t="n">
        <v>116032671.104372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9826662.87071306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1182839.0492525</v>
      </c>
      <c r="AE46" t="n">
        <v>0</v>
      </c>
      <c r="AF46" t="n">
        <v>0</v>
      </c>
      <c r="AG46" t="n">
        <v>2911603.81354461</v>
      </c>
      <c r="AH46" t="n">
        <v>0</v>
      </c>
      <c r="AI46" t="n">
        <v>33756406.7132828</v>
      </c>
      <c r="AJ46" t="n">
        <v>54228621.0272684</v>
      </c>
      <c r="AK46" t="n">
        <v>47950475.3043128</v>
      </c>
      <c r="AL46" t="n">
        <v>0</v>
      </c>
      <c r="AM46" t="n">
        <v>23085833674.7377</v>
      </c>
      <c r="AN46" t="n">
        <v>119284768.736156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272962.857519807</v>
      </c>
      <c r="AZ46" t="n">
        <v>0</v>
      </c>
      <c r="BA46" t="n">
        <v>30935790.5189115</v>
      </c>
      <c r="BB46" t="n">
        <v>587052118.905932</v>
      </c>
      <c r="BC46" t="n">
        <v>0</v>
      </c>
      <c r="BD46" t="n">
        <v>454938.095866345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3730492.38610403</v>
      </c>
      <c r="BO46" t="n">
        <v>89895767.7431899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4804421.42565081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24667477.1705057</v>
      </c>
      <c r="AK47" t="n">
        <v>0</v>
      </c>
      <c r="AL47" t="n">
        <v>0</v>
      </c>
      <c r="AM47" t="n">
        <v>121401275.725773</v>
      </c>
      <c r="AN47" t="n">
        <v>9431294381.89996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14126433.1470628</v>
      </c>
      <c r="BB47" t="n">
        <v>79380515.196947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323333.047412251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23223747.5793495</v>
      </c>
      <c r="Y48" t="n">
        <v>0</v>
      </c>
      <c r="Z48" t="n">
        <v>0</v>
      </c>
      <c r="AA48" t="n">
        <v>0</v>
      </c>
      <c r="AB48" t="n">
        <v>22450559.8572767</v>
      </c>
      <c r="AC48" t="n">
        <v>0</v>
      </c>
      <c r="AD48" t="n">
        <v>0</v>
      </c>
      <c r="AE48" t="n">
        <v>0</v>
      </c>
      <c r="AF48" t="n">
        <v>34807505.451858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14846260787.9837</v>
      </c>
      <c r="AP48" t="n">
        <v>0</v>
      </c>
      <c r="AQ48" t="n">
        <v>0</v>
      </c>
      <c r="AR48" t="n">
        <v>548105747.198099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196684898.536731</v>
      </c>
      <c r="BB48" t="n">
        <v>644796386.332945</v>
      </c>
      <c r="BC48" t="n">
        <v>0</v>
      </c>
      <c r="BD48" t="n">
        <v>2460142.75204974</v>
      </c>
      <c r="BE48" t="n">
        <v>25597.1854824867</v>
      </c>
      <c r="BF48" t="n">
        <v>4934343.46268262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14057.9585831414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1969701.0296299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201299.990791563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124664.622128475</v>
      </c>
      <c r="AC49" t="n">
        <v>0</v>
      </c>
      <c r="AD49" t="n">
        <v>0</v>
      </c>
      <c r="AE49" t="n">
        <v>0</v>
      </c>
      <c r="AF49" t="n">
        <v>9100517.41537866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4079724557.92762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3615274.04172577</v>
      </c>
      <c r="AY49" t="n">
        <v>1595707.16324448</v>
      </c>
      <c r="AZ49" t="n">
        <v>0</v>
      </c>
      <c r="BA49" t="n">
        <v>11618742.7823739</v>
      </c>
      <c r="BB49" t="n">
        <v>50588903.6597351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1396243.76783892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113070636.941278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13729305.4395308</v>
      </c>
      <c r="AC50" t="n">
        <v>0</v>
      </c>
      <c r="AD50" t="n">
        <v>0</v>
      </c>
      <c r="AE50" t="n">
        <v>0</v>
      </c>
      <c r="AF50" t="n">
        <v>955755791.526191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121602419.607272</v>
      </c>
      <c r="AQ50" t="n">
        <v>74187871005.9832</v>
      </c>
      <c r="AR50" t="n">
        <v>686465.271976538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1086184193.20173</v>
      </c>
      <c r="AZ50" t="n">
        <v>0</v>
      </c>
      <c r="BA50" t="n">
        <v>280470096.836128</v>
      </c>
      <c r="BB50" t="n">
        <v>10836933049.2913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73942116.4386156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33538391.1784048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30025929.8712581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147108673.885455</v>
      </c>
      <c r="AC51" t="n">
        <v>0</v>
      </c>
      <c r="AD51" t="n">
        <v>0</v>
      </c>
      <c r="AE51" t="n">
        <v>0</v>
      </c>
      <c r="AF51" t="n">
        <v>6988940.47428003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751646109.648126</v>
      </c>
      <c r="AP51" t="n">
        <v>0</v>
      </c>
      <c r="AQ51" t="n">
        <v>103513026.902599</v>
      </c>
      <c r="AR51" t="n">
        <v>11140456346.9838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980156.286027077</v>
      </c>
      <c r="AZ51" t="n">
        <v>0</v>
      </c>
      <c r="BA51" t="n">
        <v>708780841.269668</v>
      </c>
      <c r="BB51" t="n">
        <v>7719625677.76787</v>
      </c>
      <c r="BC51" t="n">
        <v>0</v>
      </c>
      <c r="BD51" t="n">
        <v>2599544.9325066</v>
      </c>
      <c r="BE51" t="n">
        <v>0</v>
      </c>
      <c r="BF51" t="n">
        <v>4772934.9580449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4005856.12550197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220634.545304686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55944702052.4558</v>
      </c>
      <c r="AT52" t="n">
        <v>1599765929.36795</v>
      </c>
      <c r="AU52" t="n">
        <v>0</v>
      </c>
      <c r="AV52" t="n">
        <v>0</v>
      </c>
      <c r="AW52" t="n">
        <v>0</v>
      </c>
      <c r="AX52" t="n">
        <v>0</v>
      </c>
      <c r="AY52" t="n">
        <v>3949799630.04449</v>
      </c>
      <c r="AZ52" t="n">
        <v>0</v>
      </c>
      <c r="BA52" t="n">
        <v>139054922.178279</v>
      </c>
      <c r="BB52" t="n">
        <v>138723970.360322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57974.4113536179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1466636658.42383</v>
      </c>
      <c r="AT53" t="n">
        <v>33438828827.0078</v>
      </c>
      <c r="AU53" t="n">
        <v>219607070.207505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60699208.6872379</v>
      </c>
      <c r="BB53" t="n">
        <v>62206543.382432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360425.374209887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106685910.766127</v>
      </c>
      <c r="AU54" t="n">
        <v>81165920060.1207</v>
      </c>
      <c r="AV54" t="n">
        <v>0</v>
      </c>
      <c r="AW54" t="n">
        <v>0</v>
      </c>
      <c r="AX54" t="n">
        <v>0</v>
      </c>
      <c r="AY54" t="n">
        <v>0</v>
      </c>
      <c r="AZ54" t="n">
        <v>6127231.36156808</v>
      </c>
      <c r="BA54" t="n">
        <v>172499584.096852</v>
      </c>
      <c r="BB54" t="n">
        <v>194701787.148181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11210729059.8291</v>
      </c>
      <c r="AW55" t="n">
        <v>0</v>
      </c>
      <c r="AX55" t="n">
        <v>0</v>
      </c>
      <c r="AY55" t="n">
        <v>0</v>
      </c>
      <c r="AZ55" t="n">
        <v>0</v>
      </c>
      <c r="BA55" t="n">
        <v>380341.88034188</v>
      </c>
      <c r="BB55" t="n">
        <v>380341.88034188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1755487428.7757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201901615312.293</v>
      </c>
      <c r="AX56" t="n">
        <v>0</v>
      </c>
      <c r="AY56" t="n">
        <v>0</v>
      </c>
      <c r="AZ56" t="n">
        <v>0</v>
      </c>
      <c r="BA56" t="n">
        <v>9179019.2354285</v>
      </c>
      <c r="BB56" t="n">
        <v>11381983.8519313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13638531.4156912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65891154.9020579</v>
      </c>
      <c r="AT57" t="n">
        <v>0</v>
      </c>
      <c r="AU57" t="n">
        <v>16664580.5735476</v>
      </c>
      <c r="AV57" t="n">
        <v>0</v>
      </c>
      <c r="AW57" t="n">
        <v>0</v>
      </c>
      <c r="AX57" t="n">
        <v>61048623841.274</v>
      </c>
      <c r="AY57" t="n">
        <v>0</v>
      </c>
      <c r="AZ57" t="n">
        <v>0</v>
      </c>
      <c r="BA57" t="n">
        <v>12956604.8449066</v>
      </c>
      <c r="BB57" t="n">
        <v>24719838.1909402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2898187.92583437</v>
      </c>
      <c r="BN57" t="n">
        <v>0</v>
      </c>
      <c r="BO57" t="n">
        <v>9546971.9909838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8745558.16652281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60111874.486353</v>
      </c>
      <c r="AD58" t="n">
        <v>0</v>
      </c>
      <c r="AE58" t="n">
        <v>341076768.49439</v>
      </c>
      <c r="AF58" t="n">
        <v>30886211.7526565</v>
      </c>
      <c r="AG58" t="n">
        <v>0</v>
      </c>
      <c r="AH58" t="n">
        <v>0</v>
      </c>
      <c r="AI58" t="n">
        <v>0</v>
      </c>
      <c r="AJ58" t="n">
        <v>141921589.487117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8524151.63066147</v>
      </c>
      <c r="AT58" t="n">
        <v>9299074.50617615</v>
      </c>
      <c r="AU58" t="n">
        <v>75610331.9966466</v>
      </c>
      <c r="AV58" t="n">
        <v>0</v>
      </c>
      <c r="AW58" t="n">
        <v>0</v>
      </c>
      <c r="AX58" t="n">
        <v>128305087.531645</v>
      </c>
      <c r="AY58" t="n">
        <v>43638563998.6619</v>
      </c>
      <c r="AZ58" t="n">
        <v>0</v>
      </c>
      <c r="BA58" t="n">
        <v>18708852.280283</v>
      </c>
      <c r="BB58" t="n">
        <v>23469092.8013017</v>
      </c>
      <c r="BC58" t="n">
        <v>0</v>
      </c>
      <c r="BD58" t="n">
        <v>0</v>
      </c>
      <c r="BE58" t="n">
        <v>0</v>
      </c>
      <c r="BF58" t="n">
        <v>332109.803792005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136275722.822653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150783.929193048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27920961736.535</v>
      </c>
      <c r="BA59" t="n">
        <v>27216499.2193451</v>
      </c>
      <c r="BB59" t="n">
        <v>20431222.4056579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844769.741350291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13140862.6432268</v>
      </c>
      <c r="AC60" t="n">
        <v>0</v>
      </c>
      <c r="AD60" t="n">
        <v>0</v>
      </c>
      <c r="AE60" t="n">
        <v>0</v>
      </c>
      <c r="AF60" t="n">
        <v>140137913.759554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1002328510.3948</v>
      </c>
      <c r="AP60" t="n">
        <v>0</v>
      </c>
      <c r="AQ60" t="n">
        <v>15487445.2580887</v>
      </c>
      <c r="AR60" t="n">
        <v>1907490075.96896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12296092.9018765</v>
      </c>
      <c r="AZ60" t="n">
        <v>0</v>
      </c>
      <c r="BA60" t="n">
        <v>44358389801.7808</v>
      </c>
      <c r="BB60" t="n">
        <v>1275977762.65732</v>
      </c>
      <c r="BC60" t="n">
        <v>0</v>
      </c>
      <c r="BD60" t="n">
        <v>528919721.389877</v>
      </c>
      <c r="BE60" t="n">
        <v>0</v>
      </c>
      <c r="BF60" t="n">
        <v>35761919.0504957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392348613.204913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52987218.3758578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658226.315228047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53234053.2440683</v>
      </c>
      <c r="AF61" t="n">
        <v>169081884.724205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5035019920.04754</v>
      </c>
      <c r="AS61" t="n">
        <v>0</v>
      </c>
      <c r="AT61" t="n">
        <v>40563196.6759284</v>
      </c>
      <c r="AU61" t="n">
        <v>0</v>
      </c>
      <c r="AV61" t="n">
        <v>0</v>
      </c>
      <c r="AW61" t="n">
        <v>0</v>
      </c>
      <c r="AX61" t="n">
        <v>0</v>
      </c>
      <c r="AY61" t="n">
        <v>3208853.28673673</v>
      </c>
      <c r="AZ61" t="n">
        <v>0</v>
      </c>
      <c r="BA61" t="n">
        <v>1062377272.77807</v>
      </c>
      <c r="BB61" t="n">
        <v>122726625587.427</v>
      </c>
      <c r="BC61" t="n">
        <v>0</v>
      </c>
      <c r="BD61" t="n">
        <v>119632632.792698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162581899.861328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5584183.71623987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810291030.173923</v>
      </c>
      <c r="BB62" t="n">
        <v>410762164.987598</v>
      </c>
      <c r="BC62" t="n">
        <v>39792243838.2374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130952246.651249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152668882.572773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119488099.791389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13235031.3341476</v>
      </c>
      <c r="AV63" t="n">
        <v>0</v>
      </c>
      <c r="AW63" t="n">
        <v>0</v>
      </c>
      <c r="AX63" t="n">
        <v>24978791.5320532</v>
      </c>
      <c r="AY63" t="n">
        <v>22275862.5976146</v>
      </c>
      <c r="AZ63" t="n">
        <v>0</v>
      </c>
      <c r="BA63" t="n">
        <v>1154616677.23535</v>
      </c>
      <c r="BB63" t="n">
        <v>4287870538.92577</v>
      </c>
      <c r="BC63" t="n">
        <v>0</v>
      </c>
      <c r="BD63" t="n">
        <v>95190819168.598</v>
      </c>
      <c r="BE63" t="n">
        <v>42758417.5254463</v>
      </c>
      <c r="BF63" t="n">
        <v>2423315.59639322</v>
      </c>
      <c r="BG63" t="n">
        <v>0</v>
      </c>
      <c r="BH63" t="n">
        <v>0</v>
      </c>
      <c r="BI63" t="n">
        <v>0</v>
      </c>
      <c r="BJ63" t="n">
        <v>3541768.9485747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184</v>
      </c>
      <c r="B64" t="n">
        <v>0</v>
      </c>
      <c r="C64" t="n">
        <v>0</v>
      </c>
      <c r="D64" t="n">
        <v>9332061.91770255</v>
      </c>
      <c r="E64" t="n">
        <v>0</v>
      </c>
      <c r="F64" t="n">
        <v>0</v>
      </c>
      <c r="G64" t="n">
        <v>0</v>
      </c>
      <c r="H64" t="n">
        <v>116036.179450572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6556044.13895731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28428863.9653901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9108840.08686989</v>
      </c>
      <c r="AZ64" t="n">
        <v>0</v>
      </c>
      <c r="BA64" t="n">
        <v>1276397.97395629</v>
      </c>
      <c r="BB64" t="n">
        <v>9050821.99714461</v>
      </c>
      <c r="BC64" t="n">
        <v>0</v>
      </c>
      <c r="BD64" t="n">
        <v>0</v>
      </c>
      <c r="BE64" t="n">
        <v>11712661132.2319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55233221.4184722</v>
      </c>
      <c r="BV64" t="n">
        <v>0</v>
      </c>
    </row>
    <row r="65">
      <c r="A65" t="s">
        <v>185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37706518.8194421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42022000.2293926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6311391.56205255</v>
      </c>
      <c r="AV65" t="n">
        <v>0</v>
      </c>
      <c r="AW65" t="n">
        <v>0</v>
      </c>
      <c r="AX65" t="n">
        <v>3560272.16320913</v>
      </c>
      <c r="AY65" t="n">
        <v>0</v>
      </c>
      <c r="AZ65" t="n">
        <v>0</v>
      </c>
      <c r="BA65" t="n">
        <v>268422943.698919</v>
      </c>
      <c r="BB65" t="n">
        <v>1786879021.30761</v>
      </c>
      <c r="BC65" t="n">
        <v>0</v>
      </c>
      <c r="BD65" t="n">
        <v>0</v>
      </c>
      <c r="BE65" t="n">
        <v>0</v>
      </c>
      <c r="BF65" t="n">
        <v>16190283718.6759</v>
      </c>
      <c r="BG65" t="n">
        <v>0</v>
      </c>
      <c r="BH65" t="n">
        <v>0</v>
      </c>
      <c r="BI65" t="n">
        <v>0</v>
      </c>
      <c r="BJ65" t="n">
        <v>0</v>
      </c>
      <c r="BK65" t="n">
        <v>93052567.9020568</v>
      </c>
      <c r="BL65" t="n">
        <v>0</v>
      </c>
      <c r="BM65" t="n">
        <v>1535987720.83662</v>
      </c>
      <c r="BN65" t="n">
        <v>702236712.434188</v>
      </c>
      <c r="BO65" t="n">
        <v>2535345.32834589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41513189.8821748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810128657.640765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39773116.0547783</v>
      </c>
      <c r="AZ66" t="n">
        <v>0</v>
      </c>
      <c r="BA66" t="n">
        <v>70514420.338784</v>
      </c>
      <c r="BB66" t="n">
        <v>34055730.6219039</v>
      </c>
      <c r="BC66" t="n">
        <v>0</v>
      </c>
      <c r="BD66" t="n">
        <v>0</v>
      </c>
      <c r="BE66" t="n">
        <v>0</v>
      </c>
      <c r="BF66" t="n">
        <v>0</v>
      </c>
      <c r="BG66" t="n">
        <v>95308069420.0899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4474475.55616256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80856058.2278674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114710165.875513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10035551.6103716</v>
      </c>
      <c r="AZ67" t="n">
        <v>0</v>
      </c>
      <c r="BA67" t="n">
        <v>177337089.216187</v>
      </c>
      <c r="BB67" t="n">
        <v>506985904.772064</v>
      </c>
      <c r="BC67" t="n">
        <v>0</v>
      </c>
      <c r="BD67" t="n">
        <v>0</v>
      </c>
      <c r="BE67" t="n">
        <v>0</v>
      </c>
      <c r="BF67" t="n">
        <v>0</v>
      </c>
      <c r="BG67" t="n">
        <v>245235852.959777</v>
      </c>
      <c r="BH67" t="n">
        <v>57891667368.1644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118838715.588641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2248303.99475436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1359439.6247352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8679499.1425401</v>
      </c>
      <c r="AY68" t="n">
        <v>0</v>
      </c>
      <c r="AZ68" t="n">
        <v>0</v>
      </c>
      <c r="BA68" t="n">
        <v>1673156.46121255</v>
      </c>
      <c r="BB68" t="n">
        <v>1098008.92767074</v>
      </c>
      <c r="BC68" t="n">
        <v>0</v>
      </c>
      <c r="BD68" t="n">
        <v>0</v>
      </c>
      <c r="BE68" t="n">
        <v>0</v>
      </c>
      <c r="BF68" t="n">
        <v>0</v>
      </c>
      <c r="BG68" t="n">
        <v>7738348.63310804</v>
      </c>
      <c r="BH68" t="n">
        <v>0</v>
      </c>
      <c r="BI68" t="n">
        <v>13569717189.5491</v>
      </c>
      <c r="BJ68" t="n">
        <v>33933704.478967</v>
      </c>
      <c r="BK68" t="n">
        <v>0</v>
      </c>
      <c r="BL68" t="n">
        <v>0</v>
      </c>
      <c r="BM68" t="n">
        <v>0</v>
      </c>
      <c r="BN68" t="n">
        <v>33463129.224251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7796136.25224636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10328639.1112563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6157457.9317105</v>
      </c>
      <c r="BB69" t="n">
        <v>1092452.21369057</v>
      </c>
      <c r="BC69" t="n">
        <v>0</v>
      </c>
      <c r="BD69" t="n">
        <v>0</v>
      </c>
      <c r="BE69" t="n">
        <v>0</v>
      </c>
      <c r="BF69" t="n">
        <v>0</v>
      </c>
      <c r="BG69" t="n">
        <v>11371434.4061428</v>
      </c>
      <c r="BH69" t="n">
        <v>0</v>
      </c>
      <c r="BI69" t="n">
        <v>94348145.7278223</v>
      </c>
      <c r="BJ69" t="n">
        <v>12176422716.8763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35998174.4941605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81537328.5697002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63216306.4287697</v>
      </c>
      <c r="AY70" t="n">
        <v>94765926.0260909</v>
      </c>
      <c r="AZ70" t="n">
        <v>0</v>
      </c>
      <c r="BA70" t="n">
        <v>8311773.62304194</v>
      </c>
      <c r="BB70" t="n">
        <v>507720594.410322</v>
      </c>
      <c r="BC70" t="n">
        <v>0</v>
      </c>
      <c r="BD70" t="n">
        <v>0</v>
      </c>
      <c r="BE70" t="n">
        <v>0</v>
      </c>
      <c r="BF70" t="n">
        <v>18321022.1409305</v>
      </c>
      <c r="BG70" t="n">
        <v>0</v>
      </c>
      <c r="BH70" t="n">
        <v>0</v>
      </c>
      <c r="BI70" t="n">
        <v>0</v>
      </c>
      <c r="BJ70" t="n">
        <v>0</v>
      </c>
      <c r="BK70" t="n">
        <v>11912059341.3945</v>
      </c>
      <c r="BL70" t="n">
        <v>126315545.623412</v>
      </c>
      <c r="BM70" t="n">
        <v>468268.936509405</v>
      </c>
      <c r="BN70" t="n">
        <v>263576877.637731</v>
      </c>
      <c r="BO70" t="n">
        <v>21657438.31356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30768919.4364798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4858250.43733891</v>
      </c>
      <c r="AD71" t="n">
        <v>0</v>
      </c>
      <c r="AE71" t="n">
        <v>0</v>
      </c>
      <c r="AF71" t="n">
        <v>148014696.657592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3454755.86655211</v>
      </c>
      <c r="AY71" t="n">
        <v>13279217.8620597</v>
      </c>
      <c r="AZ71" t="n">
        <v>0</v>
      </c>
      <c r="BA71" t="n">
        <v>3454755.86655211</v>
      </c>
      <c r="BB71" t="n">
        <v>4480386.51443477</v>
      </c>
      <c r="BC71" t="n">
        <v>0</v>
      </c>
      <c r="BD71" t="n">
        <v>0</v>
      </c>
      <c r="BE71" t="n">
        <v>0</v>
      </c>
      <c r="BF71" t="n">
        <v>162967311.892513</v>
      </c>
      <c r="BG71" t="n">
        <v>0</v>
      </c>
      <c r="BH71" t="n">
        <v>0</v>
      </c>
      <c r="BI71" t="n">
        <v>0</v>
      </c>
      <c r="BJ71" t="n">
        <v>33845811.3801277</v>
      </c>
      <c r="BK71" t="n">
        <v>755727.845808275</v>
      </c>
      <c r="BL71" t="n">
        <v>8113764055.39971</v>
      </c>
      <c r="BM71" t="n">
        <v>11012034.3246349</v>
      </c>
      <c r="BN71" t="n">
        <v>575864618.505905</v>
      </c>
      <c r="BO71" t="n">
        <v>195571570.383099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100103154.556325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551228.824649366</v>
      </c>
      <c r="AD72" t="n">
        <v>15599775.737577</v>
      </c>
      <c r="AE72" t="n">
        <v>22986241.9878785</v>
      </c>
      <c r="AF72" t="n">
        <v>40019212.6695439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8709415.42945997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61958119.8905887</v>
      </c>
      <c r="AY72" t="n">
        <v>58320009.6479029</v>
      </c>
      <c r="AZ72" t="n">
        <v>0</v>
      </c>
      <c r="BA72" t="n">
        <v>2976635.65310657</v>
      </c>
      <c r="BB72" t="n">
        <v>220491.529859746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58320009.6479029</v>
      </c>
      <c r="BL72" t="n">
        <v>1829969452.07096</v>
      </c>
      <c r="BM72" t="n">
        <v>11940002202.0825</v>
      </c>
      <c r="BN72" t="n">
        <v>2641268036.1899</v>
      </c>
      <c r="BO72" t="n">
        <v>112891663.28819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72629031.6657894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2932763.74897487</v>
      </c>
      <c r="AC73" t="n">
        <v>0</v>
      </c>
      <c r="AD73" t="n">
        <v>51323365.6070602</v>
      </c>
      <c r="AE73" t="n">
        <v>0</v>
      </c>
      <c r="AF73" t="n">
        <v>138012411.716464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258773.271968371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115240363.783248</v>
      </c>
      <c r="BM73" t="n">
        <v>1552639.63181023</v>
      </c>
      <c r="BN73" t="n">
        <v>78027214634.5643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690062.058582323</v>
      </c>
      <c r="BV73" t="n">
        <v>0</v>
      </c>
    </row>
    <row r="74">
      <c r="A74" t="s">
        <v>194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40533392.3459394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41434134.3980714</v>
      </c>
      <c r="AC74" t="n">
        <v>156155917.583245</v>
      </c>
      <c r="AD74" t="n">
        <v>0</v>
      </c>
      <c r="AE74" t="n">
        <v>11955303.6010246</v>
      </c>
      <c r="AF74" t="n">
        <v>379048632.665361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61905544.6737984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117260238.059364</v>
      </c>
      <c r="AY74" t="n">
        <v>32508599.5178545</v>
      </c>
      <c r="AZ74" t="n">
        <v>0</v>
      </c>
      <c r="BA74" t="n">
        <v>92203231.8818743</v>
      </c>
      <c r="BB74" t="n">
        <v>92367003.1640802</v>
      </c>
      <c r="BC74" t="n">
        <v>0</v>
      </c>
      <c r="BD74" t="n">
        <v>0</v>
      </c>
      <c r="BE74" t="n">
        <v>0</v>
      </c>
      <c r="BF74" t="n">
        <v>818856.411029079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272842956.154889</v>
      </c>
      <c r="BO74" t="n">
        <v>62306293001.356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148984.691728509</v>
      </c>
      <c r="I75" t="n">
        <v>0</v>
      </c>
      <c r="J75" t="n">
        <v>0</v>
      </c>
      <c r="K75" t="n">
        <v>0</v>
      </c>
      <c r="L75" t="n">
        <v>0</v>
      </c>
      <c r="M75" t="n">
        <v>71998.265724551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127636.423575497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2185108.81201813</v>
      </c>
      <c r="AQ75" t="n">
        <v>0</v>
      </c>
      <c r="AR75" t="n">
        <v>744923.458642544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91873893.2325805</v>
      </c>
      <c r="BB75" t="n">
        <v>1159647178.8508</v>
      </c>
      <c r="BC75" t="n">
        <v>0</v>
      </c>
      <c r="BD75" t="n">
        <v>0</v>
      </c>
      <c r="BE75" t="n">
        <v>0</v>
      </c>
      <c r="BF75" t="n">
        <v>12117421.5939187</v>
      </c>
      <c r="BG75" t="n">
        <v>0</v>
      </c>
      <c r="BH75" t="n">
        <v>77174070.3153676</v>
      </c>
      <c r="BI75" t="n">
        <v>0</v>
      </c>
      <c r="BJ75" t="n">
        <v>0</v>
      </c>
      <c r="BK75" t="n">
        <v>1092554.40600906</v>
      </c>
      <c r="BL75" t="n">
        <v>0</v>
      </c>
      <c r="BM75" t="n">
        <v>0</v>
      </c>
      <c r="BN75" t="n">
        <v>0</v>
      </c>
      <c r="BO75" t="n">
        <v>0</v>
      </c>
      <c r="BP75" t="n">
        <v>33534268999.2753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196</v>
      </c>
      <c r="B76" t="n">
        <v>0</v>
      </c>
      <c r="C76" t="n">
        <v>2296773.57371741</v>
      </c>
      <c r="D76" t="n">
        <v>0</v>
      </c>
      <c r="E76" t="n">
        <v>0</v>
      </c>
      <c r="F76" t="n">
        <v>0</v>
      </c>
      <c r="G76" t="n">
        <v>2468267.78910794</v>
      </c>
      <c r="H76" t="n">
        <v>23100454.9493436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3159232.86900798</v>
      </c>
      <c r="T76" t="n">
        <v>0</v>
      </c>
      <c r="U76" t="n">
        <v>0</v>
      </c>
      <c r="V76" t="n">
        <v>0</v>
      </c>
      <c r="W76" t="n">
        <v>0</v>
      </c>
      <c r="X76" t="n">
        <v>379733.506016607</v>
      </c>
      <c r="Y76" t="n">
        <v>0</v>
      </c>
      <c r="Z76" t="n">
        <v>245350.216237272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5768232.96823075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3797335.06016607</v>
      </c>
      <c r="AW76" t="n">
        <v>0</v>
      </c>
      <c r="AX76" t="n">
        <v>0</v>
      </c>
      <c r="AY76" t="n">
        <v>0</v>
      </c>
      <c r="AZ76" t="n">
        <v>0</v>
      </c>
      <c r="BA76" t="n">
        <v>128792947.457299</v>
      </c>
      <c r="BB76" t="n">
        <v>1297612678.97641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63352206.5871039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26074148034.9596</v>
      </c>
      <c r="BR76" t="n">
        <v>21201787.4192605</v>
      </c>
      <c r="BS76" t="n">
        <v>0</v>
      </c>
      <c r="BT76" t="n">
        <v>0</v>
      </c>
      <c r="BU76" t="n">
        <v>0</v>
      </c>
      <c r="BV76" t="n">
        <v>275623236.450387</v>
      </c>
    </row>
    <row r="77">
      <c r="A77" t="s">
        <v>197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1074771024.2242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172501271.065215</v>
      </c>
      <c r="AF77" t="n">
        <v>3709704.75409064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1043354.46208799</v>
      </c>
      <c r="AQ77" t="n">
        <v>0</v>
      </c>
      <c r="AR77" t="n">
        <v>0</v>
      </c>
      <c r="AS77" t="n">
        <v>0</v>
      </c>
      <c r="AT77" t="n">
        <v>0</v>
      </c>
      <c r="AU77" t="n">
        <v>157488559.638504</v>
      </c>
      <c r="AV77" t="n">
        <v>0</v>
      </c>
      <c r="AW77" t="n">
        <v>0</v>
      </c>
      <c r="AX77" t="n">
        <v>48747839.0342223</v>
      </c>
      <c r="AY77" t="n">
        <v>0</v>
      </c>
      <c r="AZ77" t="n">
        <v>0</v>
      </c>
      <c r="BA77" t="n">
        <v>33909020.0178597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88453272.7303487</v>
      </c>
      <c r="BO77" t="n">
        <v>0</v>
      </c>
      <c r="BP77" t="n">
        <v>0</v>
      </c>
      <c r="BQ77" t="n">
        <v>0</v>
      </c>
      <c r="BR77" t="n">
        <v>4152202974.28951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198</v>
      </c>
      <c r="B78" t="n">
        <v>58831206.2622197</v>
      </c>
      <c r="C78" t="n">
        <v>168502004.624413</v>
      </c>
      <c r="D78" t="n">
        <v>0</v>
      </c>
      <c r="E78" t="n">
        <v>43006086.2684803</v>
      </c>
      <c r="F78" t="n">
        <v>0</v>
      </c>
      <c r="G78" t="n">
        <v>110719189.317818</v>
      </c>
      <c r="H78" t="n">
        <v>1902489112.50972</v>
      </c>
      <c r="I78" t="n">
        <v>22714903.8594758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133057150.921627</v>
      </c>
      <c r="T78" t="n">
        <v>264662622.816513</v>
      </c>
      <c r="U78" t="n">
        <v>0</v>
      </c>
      <c r="V78" t="n">
        <v>78006959.9184253</v>
      </c>
      <c r="W78" t="n">
        <v>41445648.0020419</v>
      </c>
      <c r="X78" t="n">
        <v>158854250.001936</v>
      </c>
      <c r="Y78" t="n">
        <v>0</v>
      </c>
      <c r="Z78" t="n">
        <v>7321144.32979088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30897638.622798</v>
      </c>
      <c r="AP78" t="n">
        <v>85497.4434886628</v>
      </c>
      <c r="AQ78" t="n">
        <v>0</v>
      </c>
      <c r="AR78" t="n">
        <v>217761988.565624</v>
      </c>
      <c r="AS78" t="n">
        <v>0</v>
      </c>
      <c r="AT78" t="n">
        <v>0</v>
      </c>
      <c r="AU78" t="n">
        <v>0</v>
      </c>
      <c r="AV78" t="n">
        <v>2846209893.73759</v>
      </c>
      <c r="AW78" t="n">
        <v>0</v>
      </c>
      <c r="AX78" t="n">
        <v>0</v>
      </c>
      <c r="AY78" t="n">
        <v>0</v>
      </c>
      <c r="AZ78" t="n">
        <v>0</v>
      </c>
      <c r="BA78" t="n">
        <v>422186375.947017</v>
      </c>
      <c r="BB78" t="n">
        <v>5071109865.64306</v>
      </c>
      <c r="BC78" t="n">
        <v>0</v>
      </c>
      <c r="BD78" t="n">
        <v>830522166.048871</v>
      </c>
      <c r="BE78" t="n">
        <v>1420389255.56453</v>
      </c>
      <c r="BF78" t="n">
        <v>8671834698.16809</v>
      </c>
      <c r="BG78" t="n">
        <v>3142886022.64325</v>
      </c>
      <c r="BH78" t="n">
        <v>19710409626.9893</v>
      </c>
      <c r="BI78" t="n">
        <v>0</v>
      </c>
      <c r="BJ78" t="n">
        <v>341818779.067674</v>
      </c>
      <c r="BK78" t="n">
        <v>291888272.070295</v>
      </c>
      <c r="BL78" t="n">
        <v>242299754.846871</v>
      </c>
      <c r="BM78" t="n">
        <v>966805090.969799</v>
      </c>
      <c r="BN78" t="n">
        <v>1735256113.0459</v>
      </c>
      <c r="BO78" t="n">
        <v>105332850.378033</v>
      </c>
      <c r="BP78" t="n">
        <v>0</v>
      </c>
      <c r="BQ78" t="n">
        <v>0</v>
      </c>
      <c r="BR78" t="n">
        <v>0</v>
      </c>
      <c r="BS78" t="n">
        <v>164566676191.187</v>
      </c>
      <c r="BT78" t="n">
        <v>0</v>
      </c>
      <c r="BU78" t="n">
        <v>380378126.081061</v>
      </c>
      <c r="BV78" t="n">
        <v>0</v>
      </c>
    </row>
    <row r="79">
      <c r="A79" t="s">
        <v>199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7510429282.48764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293624621.138404</v>
      </c>
      <c r="AE79" t="n">
        <v>0</v>
      </c>
      <c r="AF79" t="n">
        <v>0</v>
      </c>
      <c r="AG79" t="n">
        <v>0</v>
      </c>
      <c r="AH79" t="n">
        <v>6717235.70022</v>
      </c>
      <c r="AI79" t="n">
        <v>23408548.6522818</v>
      </c>
      <c r="AJ79" t="n">
        <v>0</v>
      </c>
      <c r="AK79" t="n">
        <v>884334257.563811</v>
      </c>
      <c r="AL79" t="n">
        <v>0</v>
      </c>
      <c r="AM79" t="n">
        <v>808103809.996163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1068651.13412591</v>
      </c>
      <c r="AT79" t="n">
        <v>0</v>
      </c>
      <c r="AU79" t="n">
        <v>22187233.0704236</v>
      </c>
      <c r="AV79" t="n">
        <v>0</v>
      </c>
      <c r="AW79" t="n">
        <v>434126801.201339</v>
      </c>
      <c r="AX79" t="n">
        <v>1472245045.78079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5037926.775165</v>
      </c>
      <c r="BL79" t="n">
        <v>2221318602.65381</v>
      </c>
      <c r="BM79" t="n">
        <v>0</v>
      </c>
      <c r="BN79" t="n">
        <v>0</v>
      </c>
      <c r="BO79" t="n">
        <v>168745102.893405</v>
      </c>
      <c r="BP79" t="n">
        <v>0</v>
      </c>
      <c r="BQ79" t="n">
        <v>0</v>
      </c>
      <c r="BR79" t="n">
        <v>0</v>
      </c>
      <c r="BS79" t="n">
        <v>0</v>
      </c>
      <c r="BT79" t="n">
        <v>5608230263.74352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213</v>
      </c>
    </row>
    <row r="2">
      <c r="A2" t="s">
        <v>214</v>
      </c>
    </row>
    <row r="3">
      <c r="A3" t="s">
        <v>215</v>
      </c>
    </row>
    <row r="4">
      <c r="A4" t="s">
        <v>87</v>
      </c>
    </row>
    <row r="5">
      <c r="A5" t="s">
        <v>1</v>
      </c>
    </row>
    <row r="6">
      <c r="A6" t="s">
        <v>216</v>
      </c>
    </row>
    <row r="7">
      <c r="A7" t="s">
        <v>1</v>
      </c>
    </row>
    <row r="9">
      <c r="A9" t="s">
        <v>217</v>
      </c>
      <c r="B9" t="s">
        <v>218</v>
      </c>
      <c r="C9" t="s">
        <v>219</v>
      </c>
      <c r="D9" t="s">
        <v>220</v>
      </c>
      <c r="E9" t="s">
        <v>221</v>
      </c>
    </row>
    <row r="10">
      <c r="A10" t="s">
        <v>222</v>
      </c>
      <c r="B10" t="n">
        <v>12031000</v>
      </c>
      <c r="C10" t="s">
        <v>223</v>
      </c>
      <c r="D10" t="n">
        <v>600000000</v>
      </c>
      <c r="E10" t="s">
        <v>224</v>
      </c>
    </row>
    <row r="11">
      <c r="A11" t="s">
        <v>225</v>
      </c>
      <c r="B11" t="n">
        <v>1000000</v>
      </c>
      <c r="C11" t="s">
        <v>223</v>
      </c>
      <c r="D11" t="n">
        <v>40000000</v>
      </c>
      <c r="E11" t="s">
        <v>226</v>
      </c>
    </row>
    <row r="12">
      <c r="A12" t="s">
        <v>227</v>
      </c>
      <c r="B12" t="n">
        <v>4220000</v>
      </c>
      <c r="C12" t="s">
        <v>223</v>
      </c>
      <c r="D12" t="n">
        <v>125000000</v>
      </c>
      <c r="E12" t="s">
        <v>228</v>
      </c>
    </row>
    <row r="13">
      <c r="A13" t="s">
        <v>229</v>
      </c>
      <c r="B13" t="n">
        <v>0</v>
      </c>
      <c r="C13" t="s">
        <v>223</v>
      </c>
      <c r="D13" t="n">
        <v>0</v>
      </c>
      <c r="E13"/>
    </row>
    <row r="14">
      <c r="A14" t="s">
        <v>230</v>
      </c>
      <c r="B14" t="n">
        <v>0</v>
      </c>
      <c r="C14" t="s">
        <v>223</v>
      </c>
      <c r="D14" t="n">
        <v>0</v>
      </c>
      <c r="E14"/>
    </row>
    <row r="15">
      <c r="A15" t="s">
        <v>231</v>
      </c>
      <c r="B15" t="n">
        <v>10710000</v>
      </c>
      <c r="C15" t="s">
        <v>223</v>
      </c>
      <c r="D15" t="n">
        <v>330000000</v>
      </c>
      <c r="E15" t="s">
        <v>232</v>
      </c>
    </row>
    <row r="16">
      <c r="A16" t="s">
        <v>233</v>
      </c>
      <c r="B16" t="n">
        <v>0</v>
      </c>
      <c r="C16" t="s">
        <v>223</v>
      </c>
      <c r="D16" t="n">
        <v>0</v>
      </c>
      <c r="E16"/>
    </row>
    <row r="17">
      <c r="A17" t="s">
        <v>234</v>
      </c>
      <c r="B17" t="n">
        <v>0</v>
      </c>
      <c r="C17" t="s">
        <v>223</v>
      </c>
      <c r="D17" t="n">
        <v>0</v>
      </c>
      <c r="E17"/>
    </row>
    <row r="18">
      <c r="A18" t="s">
        <v>235</v>
      </c>
      <c r="B18" t="n">
        <v>0</v>
      </c>
      <c r="C18" t="s">
        <v>223</v>
      </c>
      <c r="D18" t="n">
        <v>0</v>
      </c>
      <c r="E18"/>
    </row>
    <row r="19">
      <c r="A19" t="s">
        <v>236</v>
      </c>
      <c r="B19" t="n">
        <v>0</v>
      </c>
      <c r="C19" t="s">
        <v>223</v>
      </c>
      <c r="D19" t="n">
        <v>0</v>
      </c>
      <c r="E19"/>
    </row>
    <row r="20">
      <c r="A20" t="s">
        <v>237</v>
      </c>
      <c r="B20" t="n">
        <v>0</v>
      </c>
      <c r="C20" t="s">
        <v>223</v>
      </c>
      <c r="D20" t="n">
        <v>0</v>
      </c>
      <c r="E20"/>
    </row>
    <row r="21">
      <c r="A21" t="s">
        <v>238</v>
      </c>
      <c r="B21" t="n">
        <v>0</v>
      </c>
      <c r="C21" t="s">
        <v>223</v>
      </c>
      <c r="D21" t="n">
        <v>0</v>
      </c>
      <c r="E21"/>
    </row>
    <row r="22">
      <c r="A22" t="s">
        <v>239</v>
      </c>
      <c r="B22" t="n">
        <v>0</v>
      </c>
      <c r="C22" t="s">
        <v>223</v>
      </c>
      <c r="D22" t="n">
        <v>0</v>
      </c>
      <c r="E22"/>
    </row>
    <row r="23">
      <c r="A23" t="s">
        <v>240</v>
      </c>
      <c r="B23" t="n">
        <v>45919000</v>
      </c>
      <c r="C23" t="s">
        <v>223</v>
      </c>
      <c r="D23" t="n">
        <v>1950000000</v>
      </c>
      <c r="E23" t="s">
        <v>241</v>
      </c>
    </row>
    <row r="24">
      <c r="A24" t="s">
        <v>242</v>
      </c>
      <c r="B24" t="n">
        <v>28820000</v>
      </c>
      <c r="C24" t="s">
        <v>223</v>
      </c>
      <c r="D24" t="n">
        <v>1210000000</v>
      </c>
      <c r="E24" t="s">
        <v>241</v>
      </c>
    </row>
    <row r="25">
      <c r="A25" t="s">
        <v>243</v>
      </c>
      <c r="B25" t="n">
        <v>0</v>
      </c>
      <c r="C25" t="s">
        <v>223</v>
      </c>
      <c r="D25" t="n">
        <v>0</v>
      </c>
      <c r="E25"/>
    </row>
    <row r="26">
      <c r="A26" t="s">
        <v>244</v>
      </c>
      <c r="B26" t="n">
        <v>0</v>
      </c>
      <c r="C26" t="s">
        <v>223</v>
      </c>
      <c r="D26" t="n">
        <v>0</v>
      </c>
      <c r="E26"/>
    </row>
    <row r="27">
      <c r="A27" t="s">
        <v>245</v>
      </c>
      <c r="B27" t="n">
        <v>36140000</v>
      </c>
      <c r="C27" t="s">
        <v>223</v>
      </c>
      <c r="D27" t="n">
        <v>1730000000</v>
      </c>
      <c r="E27" t="s">
        <v>246</v>
      </c>
    </row>
    <row r="28">
      <c r="A28" t="s">
        <v>247</v>
      </c>
      <c r="B28" t="n">
        <v>2720000</v>
      </c>
      <c r="C28" t="s">
        <v>223</v>
      </c>
      <c r="D28" t="n">
        <v>60000000</v>
      </c>
      <c r="E28" t="s">
        <v>248</v>
      </c>
    </row>
    <row r="29">
      <c r="A29" t="s">
        <v>249</v>
      </c>
      <c r="B29" t="n">
        <v>0</v>
      </c>
      <c r="C29" t="s">
        <v>223</v>
      </c>
      <c r="D29" t="n">
        <v>0</v>
      </c>
      <c r="E29"/>
    </row>
    <row r="30">
      <c r="A30" t="s">
        <v>250</v>
      </c>
      <c r="B30" t="n">
        <v>1320000</v>
      </c>
      <c r="C30" t="s">
        <v>223</v>
      </c>
      <c r="D30" t="n">
        <v>70000000</v>
      </c>
      <c r="E30" t="s">
        <v>251</v>
      </c>
    </row>
    <row r="31">
      <c r="A31" t="s">
        <v>252</v>
      </c>
      <c r="B31" t="n">
        <v>0</v>
      </c>
      <c r="C31" t="s">
        <v>223</v>
      </c>
      <c r="D31" t="n">
        <v>0</v>
      </c>
      <c r="E31"/>
    </row>
    <row r="32">
      <c r="A32" t="s">
        <v>253</v>
      </c>
      <c r="B32" t="n">
        <v>0</v>
      </c>
      <c r="C32" t="s">
        <v>223</v>
      </c>
      <c r="D32" t="n">
        <v>0</v>
      </c>
      <c r="E32"/>
    </row>
    <row r="33">
      <c r="A33" t="s">
        <v>254</v>
      </c>
      <c r="B33" t="n">
        <v>0</v>
      </c>
      <c r="C33" t="s">
        <v>223</v>
      </c>
      <c r="D33" t="n">
        <v>0</v>
      </c>
      <c r="E33"/>
    </row>
    <row r="34">
      <c r="A34" t="s">
        <v>255</v>
      </c>
      <c r="B34" t="n">
        <v>2800000</v>
      </c>
      <c r="C34" t="s">
        <v>223</v>
      </c>
      <c r="D34" t="n">
        <v>65000000</v>
      </c>
      <c r="E34" t="s">
        <v>256</v>
      </c>
    </row>
    <row r="35">
      <c r="A35" t="s">
        <v>257</v>
      </c>
      <c r="B35" t="n">
        <v>264000</v>
      </c>
      <c r="C35" t="s">
        <v>223</v>
      </c>
      <c r="D35" t="n">
        <v>12000000</v>
      </c>
      <c r="E35"/>
    </row>
    <row r="36">
      <c r="A36" t="s">
        <v>258</v>
      </c>
      <c r="B36" t="n">
        <v>38660000</v>
      </c>
      <c r="C36" t="s">
        <v>223</v>
      </c>
      <c r="D36" t="n">
        <v>590000000</v>
      </c>
      <c r="E36" t="s">
        <v>259</v>
      </c>
    </row>
    <row r="37">
      <c r="A37" t="s">
        <v>260</v>
      </c>
      <c r="B37" t="n">
        <v>0</v>
      </c>
      <c r="C37" t="s">
        <v>223</v>
      </c>
      <c r="D37" t="n">
        <v>0</v>
      </c>
      <c r="E37"/>
    </row>
    <row r="38">
      <c r="A38" t="s">
        <v>261</v>
      </c>
      <c r="B38" t="n">
        <v>0</v>
      </c>
      <c r="C38" t="s">
        <v>223</v>
      </c>
      <c r="D38" t="n">
        <v>0</v>
      </c>
      <c r="E38"/>
    </row>
    <row r="39">
      <c r="A39" t="s">
        <v>262</v>
      </c>
      <c r="B39" t="n">
        <v>0</v>
      </c>
      <c r="C39" t="s">
        <v>223</v>
      </c>
      <c r="D39" t="n">
        <v>0</v>
      </c>
      <c r="E39"/>
    </row>
    <row r="40">
      <c r="A40" t="s">
        <v>263</v>
      </c>
      <c r="B40" t="n">
        <v>0</v>
      </c>
      <c r="C40" t="s">
        <v>223</v>
      </c>
      <c r="D40" t="n">
        <v>0</v>
      </c>
      <c r="E40"/>
    </row>
    <row r="41">
      <c r="A41" t="s">
        <v>264</v>
      </c>
      <c r="B41" t="n">
        <v>10720000</v>
      </c>
      <c r="C41" t="s">
        <v>223</v>
      </c>
      <c r="D41" t="n">
        <v>260000000</v>
      </c>
      <c r="E41" t="s">
        <v>265</v>
      </c>
    </row>
    <row r="42">
      <c r="A42" t="s">
        <v>266</v>
      </c>
      <c r="B42" t="n">
        <v>0</v>
      </c>
      <c r="C42" t="s">
        <v>223</v>
      </c>
      <c r="D42" t="n">
        <v>0</v>
      </c>
      <c r="E42"/>
    </row>
    <row r="43">
      <c r="A43" t="s">
        <v>267</v>
      </c>
      <c r="B43" t="n">
        <v>0</v>
      </c>
      <c r="C43" t="s">
        <v>223</v>
      </c>
      <c r="D43" t="n">
        <v>0</v>
      </c>
      <c r="E43"/>
    </row>
    <row r="44">
      <c r="A44" t="s">
        <v>268</v>
      </c>
      <c r="B44" t="n">
        <v>27870000</v>
      </c>
      <c r="C44" t="s">
        <v>223</v>
      </c>
      <c r="D44" t="n">
        <v>560000000</v>
      </c>
      <c r="E44" t="s">
        <v>269</v>
      </c>
    </row>
    <row r="45">
      <c r="A45" t="s">
        <v>270</v>
      </c>
      <c r="B45" t="n">
        <v>8220000</v>
      </c>
      <c r="C45" t="s">
        <v>223</v>
      </c>
      <c r="D45" t="n">
        <v>430000000</v>
      </c>
      <c r="E45" t="s">
        <v>271</v>
      </c>
    </row>
    <row r="46">
      <c r="A46" t="s">
        <v>272</v>
      </c>
      <c r="B46" t="n">
        <v>930000</v>
      </c>
      <c r="C46" t="s">
        <v>223</v>
      </c>
      <c r="D46" t="n">
        <v>40000000</v>
      </c>
      <c r="E46"/>
    </row>
    <row r="47">
      <c r="A47" t="s">
        <v>273</v>
      </c>
      <c r="B47" t="n">
        <v>0</v>
      </c>
      <c r="C47" t="s">
        <v>223</v>
      </c>
      <c r="D47" t="n">
        <v>0</v>
      </c>
      <c r="E47"/>
    </row>
    <row r="48">
      <c r="A48" t="s">
        <v>274</v>
      </c>
      <c r="B48" t="n">
        <v>50110000</v>
      </c>
      <c r="C48" t="s">
        <v>223</v>
      </c>
      <c r="D48" t="n">
        <v>3000000000</v>
      </c>
      <c r="E48" t="s">
        <v>275</v>
      </c>
    </row>
    <row r="49">
      <c r="A49" t="s">
        <v>276</v>
      </c>
      <c r="B49" t="n">
        <v>0</v>
      </c>
      <c r="C49" t="s">
        <v>223</v>
      </c>
      <c r="D49" t="n">
        <v>0</v>
      </c>
      <c r="E49"/>
    </row>
    <row r="50">
      <c r="A50" t="s">
        <v>277</v>
      </c>
      <c r="B50" t="n">
        <v>0</v>
      </c>
      <c r="C50" t="s">
        <v>223</v>
      </c>
      <c r="D50" t="n">
        <v>0</v>
      </c>
      <c r="E50"/>
    </row>
    <row r="51">
      <c r="A51" t="s">
        <v>278</v>
      </c>
      <c r="B51" t="n">
        <v>0</v>
      </c>
      <c r="C51" t="s">
        <v>223</v>
      </c>
      <c r="D51" t="n">
        <v>0</v>
      </c>
      <c r="E51"/>
    </row>
    <row r="52">
      <c r="A52" t="s">
        <v>279</v>
      </c>
      <c r="B52" t="n">
        <v>400000</v>
      </c>
      <c r="C52" t="s">
        <v>223</v>
      </c>
      <c r="D52" t="n">
        <v>22000000</v>
      </c>
      <c r="E52" t="s">
        <v>280</v>
      </c>
    </row>
    <row r="53">
      <c r="A53" t="s">
        <v>281</v>
      </c>
      <c r="B53" t="n">
        <v>22820000</v>
      </c>
      <c r="C53" t="s">
        <v>223</v>
      </c>
      <c r="D53" t="n">
        <v>500000000</v>
      </c>
      <c r="E53" t="s">
        <v>248</v>
      </c>
    </row>
    <row r="54">
      <c r="A54" t="s">
        <v>282</v>
      </c>
      <c r="B54" t="n">
        <v>12810000</v>
      </c>
      <c r="C54" t="s">
        <v>223</v>
      </c>
      <c r="D54" t="n">
        <v>380000000</v>
      </c>
      <c r="E54" t="s">
        <v>283</v>
      </c>
    </row>
    <row r="55">
      <c r="A55" t="s">
        <v>284</v>
      </c>
      <c r="B55" t="n">
        <v>0</v>
      </c>
      <c r="C55" t="s">
        <v>223</v>
      </c>
      <c r="D55" t="n">
        <v>0</v>
      </c>
      <c r="E55"/>
    </row>
    <row r="56">
      <c r="A56" t="s">
        <v>285</v>
      </c>
      <c r="B56" t="n">
        <v>11480000</v>
      </c>
      <c r="C56" t="s">
        <v>223</v>
      </c>
      <c r="D56" t="n">
        <v>620000000</v>
      </c>
      <c r="E56" t="s">
        <v>286</v>
      </c>
    </row>
    <row r="57">
      <c r="A57" t="s">
        <v>287</v>
      </c>
      <c r="B57" t="n">
        <v>3050000</v>
      </c>
      <c r="C57" t="s">
        <v>223</v>
      </c>
      <c r="D57" t="n">
        <v>90000000</v>
      </c>
      <c r="E57" t="s">
        <v>288</v>
      </c>
    </row>
    <row r="58">
      <c r="A58" t="s">
        <v>289</v>
      </c>
      <c r="B58" t="n">
        <v>93320000</v>
      </c>
      <c r="C58" t="s">
        <v>223</v>
      </c>
      <c r="D58" t="n">
        <v>5050000000</v>
      </c>
      <c r="E58" t="s">
        <v>290</v>
      </c>
    </row>
    <row r="59">
      <c r="A59" t="s">
        <v>291</v>
      </c>
      <c r="B59" t="n">
        <v>0</v>
      </c>
      <c r="C59" t="s">
        <v>223</v>
      </c>
      <c r="D59" t="n">
        <v>0</v>
      </c>
      <c r="E59"/>
    </row>
    <row r="60">
      <c r="A60" t="s">
        <v>292</v>
      </c>
      <c r="B60" t="n">
        <v>276040000</v>
      </c>
      <c r="C60" t="s">
        <v>223</v>
      </c>
      <c r="D60" t="n">
        <v>3690000000</v>
      </c>
      <c r="E60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294</v>
      </c>
    </row>
    <row r="2">
      <c r="A2" t="s">
        <v>295</v>
      </c>
    </row>
    <row r="3">
      <c r="A3" t="s">
        <v>296</v>
      </c>
    </row>
    <row r="4">
      <c r="A4" t="s">
        <v>1</v>
      </c>
    </row>
    <row r="5">
      <c r="A5" t="s">
        <v>297</v>
      </c>
    </row>
    <row r="6">
      <c r="A6" t="s">
        <v>298</v>
      </c>
    </row>
    <row r="7">
      <c r="A7" t="s">
        <v>299</v>
      </c>
    </row>
    <row r="8">
      <c r="A8" t="s">
        <v>300</v>
      </c>
    </row>
    <row r="9">
      <c r="A9" t="s">
        <v>301</v>
      </c>
    </row>
    <row r="10">
      <c r="A10" t="s">
        <v>302</v>
      </c>
    </row>
    <row r="11">
      <c r="A11" t="s">
        <v>303</v>
      </c>
    </row>
    <row r="12">
      <c r="A12" t="s">
        <v>304</v>
      </c>
    </row>
    <row r="13">
      <c r="A13" t="s">
        <v>1</v>
      </c>
    </row>
    <row r="14">
      <c r="A14" t="s">
        <v>305</v>
      </c>
    </row>
    <row r="15">
      <c r="A15" t="s">
        <v>1</v>
      </c>
    </row>
    <row r="17">
      <c r="A17" t="s">
        <v>306</v>
      </c>
    </row>
    <row r="18">
      <c r="A18" t="s">
        <v>307</v>
      </c>
    </row>
    <row r="20">
      <c r="A20" t="s">
        <v>308</v>
      </c>
    </row>
    <row r="21">
      <c r="A21" t="s">
        <v>309</v>
      </c>
    </row>
    <row r="23">
      <c r="A23" t="s">
        <v>310</v>
      </c>
    </row>
    <row r="25">
      <c r="A25" t="s">
        <v>217</v>
      </c>
      <c r="B25" t="s">
        <v>311</v>
      </c>
      <c r="C25" t="s">
        <v>312</v>
      </c>
      <c r="D25" t="s">
        <v>313</v>
      </c>
      <c r="E25" t="s">
        <v>314</v>
      </c>
    </row>
    <row r="26">
      <c r="A26" t="s">
        <v>225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222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229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227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230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231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233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235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234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236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237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238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243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239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240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242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244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245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247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252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250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249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253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254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257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255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258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267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268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260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262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263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264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261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266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270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272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273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274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276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277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278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279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281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282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285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284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287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291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289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292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315</v>
      </c>
    </row>
    <row r="2">
      <c r="A2" t="s">
        <v>1</v>
      </c>
    </row>
    <row r="3">
      <c r="A3" t="s">
        <v>316</v>
      </c>
    </row>
    <row r="4">
      <c r="A4" t="s">
        <v>317</v>
      </c>
    </row>
    <row r="5">
      <c r="A5" t="s">
        <v>318</v>
      </c>
    </row>
    <row r="6">
      <c r="A6" t="s">
        <v>1</v>
      </c>
    </row>
    <row r="8">
      <c r="A8" t="s">
        <v>319</v>
      </c>
      <c r="B8" t="s">
        <v>320</v>
      </c>
      <c r="C8" t="s">
        <v>321</v>
      </c>
      <c r="D8" t="s">
        <v>322</v>
      </c>
      <c r="E8" t="s">
        <v>323</v>
      </c>
      <c r="F8" t="s">
        <v>324</v>
      </c>
      <c r="G8" t="s">
        <v>325</v>
      </c>
    </row>
    <row r="9">
      <c r="A9" t="s">
        <v>129</v>
      </c>
      <c r="B9" t="s">
        <v>326</v>
      </c>
      <c r="C9" t="s">
        <v>327</v>
      </c>
      <c r="D9" t="s">
        <v>328</v>
      </c>
      <c r="E9" t="n">
        <v>1</v>
      </c>
      <c r="F9"/>
      <c r="G9"/>
    </row>
    <row r="10">
      <c r="A10" t="s">
        <v>130</v>
      </c>
      <c r="B10" t="s">
        <v>329</v>
      </c>
      <c r="C10" t="s">
        <v>327</v>
      </c>
      <c r="D10" t="s">
        <v>328</v>
      </c>
      <c r="E10" t="n">
        <v>1</v>
      </c>
      <c r="F10"/>
      <c r="G10"/>
    </row>
    <row r="11">
      <c r="A11" t="s">
        <v>131</v>
      </c>
      <c r="B11" t="s">
        <v>330</v>
      </c>
      <c r="C11" t="s">
        <v>331</v>
      </c>
      <c r="D11" t="s">
        <v>332</v>
      </c>
      <c r="E11" t="n">
        <v>1</v>
      </c>
      <c r="F11"/>
      <c r="G11"/>
    </row>
    <row r="12">
      <c r="A12" t="s">
        <v>133</v>
      </c>
      <c r="B12" t="s">
        <v>333</v>
      </c>
      <c r="C12" t="s">
        <v>334</v>
      </c>
      <c r="D12" t="s">
        <v>335</v>
      </c>
      <c r="E12" t="n">
        <v>1</v>
      </c>
      <c r="F12"/>
      <c r="G12"/>
    </row>
    <row r="13">
      <c r="A13" t="s">
        <v>134</v>
      </c>
      <c r="B13" t="s">
        <v>336</v>
      </c>
      <c r="C13" t="s">
        <v>337</v>
      </c>
      <c r="D13" t="s">
        <v>338</v>
      </c>
      <c r="E13" t="n">
        <v>0.72</v>
      </c>
      <c r="F13" t="s">
        <v>339</v>
      </c>
      <c r="G13"/>
    </row>
    <row r="14">
      <c r="A14" t="s">
        <v>134</v>
      </c>
      <c r="B14" t="s">
        <v>336</v>
      </c>
      <c r="C14" t="s">
        <v>340</v>
      </c>
      <c r="D14" t="s">
        <v>341</v>
      </c>
      <c r="E14" t="n">
        <v>0.2</v>
      </c>
      <c r="F14" t="s">
        <v>342</v>
      </c>
      <c r="G14"/>
    </row>
    <row r="15">
      <c r="A15" t="s">
        <v>134</v>
      </c>
      <c r="B15" t="s">
        <v>336</v>
      </c>
      <c r="C15" t="s">
        <v>343</v>
      </c>
      <c r="D15" t="s">
        <v>344</v>
      </c>
      <c r="E15" t="n">
        <v>0.08</v>
      </c>
      <c r="F15" t="s">
        <v>345</v>
      </c>
      <c r="G15"/>
    </row>
    <row r="16">
      <c r="A16" t="s">
        <v>135</v>
      </c>
      <c r="B16" t="s">
        <v>346</v>
      </c>
      <c r="C16" t="s">
        <v>347</v>
      </c>
      <c r="D16" t="s">
        <v>346</v>
      </c>
      <c r="E16" t="n">
        <v>1</v>
      </c>
      <c r="F16"/>
      <c r="G16"/>
    </row>
    <row r="17">
      <c r="A17" t="s">
        <v>147</v>
      </c>
      <c r="B17" t="s">
        <v>348</v>
      </c>
      <c r="C17" t="s">
        <v>349</v>
      </c>
      <c r="D17" t="s">
        <v>350</v>
      </c>
      <c r="E17" t="n">
        <v>1</v>
      </c>
      <c r="F17"/>
      <c r="G17"/>
    </row>
    <row r="18">
      <c r="A18" t="s">
        <v>148</v>
      </c>
      <c r="B18" t="s">
        <v>351</v>
      </c>
      <c r="C18" t="s">
        <v>352</v>
      </c>
      <c r="D18" t="s">
        <v>353</v>
      </c>
      <c r="E18" t="n">
        <v>1</v>
      </c>
      <c r="F18"/>
      <c r="G18"/>
    </row>
    <row r="19">
      <c r="A19" t="s">
        <v>149</v>
      </c>
      <c r="B19" t="s">
        <v>354</v>
      </c>
      <c r="C19" t="s">
        <v>352</v>
      </c>
      <c r="D19" t="s">
        <v>353</v>
      </c>
      <c r="E19" t="n">
        <v>1</v>
      </c>
      <c r="F19"/>
      <c r="G19"/>
    </row>
    <row r="20">
      <c r="A20" t="s">
        <v>136</v>
      </c>
      <c r="B20" t="s">
        <v>355</v>
      </c>
      <c r="C20" t="s">
        <v>356</v>
      </c>
      <c r="D20" t="s">
        <v>357</v>
      </c>
      <c r="E20" t="n">
        <v>1</v>
      </c>
      <c r="F20"/>
      <c r="G20"/>
    </row>
    <row r="21">
      <c r="A21" t="s">
        <v>150</v>
      </c>
      <c r="B21" t="s">
        <v>358</v>
      </c>
      <c r="C21" t="s">
        <v>359</v>
      </c>
      <c r="D21" t="s">
        <v>360</v>
      </c>
      <c r="E21" t="n">
        <v>1</v>
      </c>
      <c r="F21"/>
      <c r="G21"/>
    </row>
    <row r="22">
      <c r="A22" t="s">
        <v>151</v>
      </c>
      <c r="B22" t="s">
        <v>361</v>
      </c>
      <c r="C22" t="s">
        <v>359</v>
      </c>
      <c r="D22" t="s">
        <v>360</v>
      </c>
      <c r="E22" t="n">
        <v>1</v>
      </c>
      <c r="F22"/>
      <c r="G22"/>
    </row>
    <row r="23">
      <c r="A23" t="s">
        <v>152</v>
      </c>
      <c r="B23" t="s">
        <v>362</v>
      </c>
      <c r="C23" t="s">
        <v>363</v>
      </c>
      <c r="D23" t="s">
        <v>364</v>
      </c>
      <c r="E23" t="n">
        <v>0.961</v>
      </c>
      <c r="F23" t="s">
        <v>365</v>
      </c>
      <c r="G23"/>
    </row>
    <row r="24">
      <c r="A24" t="s">
        <v>152</v>
      </c>
      <c r="B24" t="s">
        <v>362</v>
      </c>
      <c r="C24" t="s">
        <v>366</v>
      </c>
      <c r="D24" t="s">
        <v>367</v>
      </c>
      <c r="E24" t="n">
        <v>0.039</v>
      </c>
      <c r="F24" t="s">
        <v>368</v>
      </c>
      <c r="G24"/>
    </row>
    <row r="25">
      <c r="A25" t="s">
        <v>154</v>
      </c>
      <c r="B25" t="s">
        <v>369</v>
      </c>
      <c r="C25" t="s">
        <v>134</v>
      </c>
      <c r="D25" t="s">
        <v>370</v>
      </c>
      <c r="E25" t="n">
        <v>1</v>
      </c>
      <c r="F25"/>
      <c r="G25"/>
    </row>
    <row r="26">
      <c r="A26" t="s">
        <v>139</v>
      </c>
      <c r="B26" t="s">
        <v>371</v>
      </c>
      <c r="C26" t="s">
        <v>372</v>
      </c>
      <c r="D26" t="s">
        <v>371</v>
      </c>
      <c r="E26" t="n">
        <v>1</v>
      </c>
      <c r="F26"/>
      <c r="G26"/>
    </row>
    <row r="27">
      <c r="A27" t="s">
        <v>140</v>
      </c>
      <c r="B27" t="s">
        <v>373</v>
      </c>
      <c r="C27" t="s">
        <v>374</v>
      </c>
      <c r="D27" t="s">
        <v>375</v>
      </c>
      <c r="E27" t="n">
        <v>1</v>
      </c>
      <c r="F27"/>
      <c r="G27"/>
    </row>
    <row r="28">
      <c r="A28" t="s">
        <v>141</v>
      </c>
      <c r="B28" t="s">
        <v>376</v>
      </c>
      <c r="C28" t="s">
        <v>377</v>
      </c>
      <c r="D28" t="s">
        <v>378</v>
      </c>
      <c r="E28" t="n">
        <v>1</v>
      </c>
      <c r="F28"/>
      <c r="G28"/>
    </row>
    <row r="29">
      <c r="A29" t="s">
        <v>142</v>
      </c>
      <c r="B29" t="s">
        <v>379</v>
      </c>
      <c r="C29" t="s">
        <v>380</v>
      </c>
      <c r="D29" t="s">
        <v>381</v>
      </c>
      <c r="E29" t="n">
        <v>1</v>
      </c>
      <c r="F29"/>
      <c r="G29"/>
    </row>
    <row r="30">
      <c r="A30" t="s">
        <v>143</v>
      </c>
      <c r="B30" t="s">
        <v>382</v>
      </c>
      <c r="C30" t="s">
        <v>383</v>
      </c>
      <c r="D30" t="s">
        <v>384</v>
      </c>
      <c r="E30" t="n">
        <v>1</v>
      </c>
      <c r="F30"/>
      <c r="G30"/>
    </row>
    <row r="31">
      <c r="A31" t="s">
        <v>144</v>
      </c>
      <c r="B31" t="s">
        <v>385</v>
      </c>
      <c r="C31" t="s">
        <v>386</v>
      </c>
      <c r="D31" t="s">
        <v>387</v>
      </c>
      <c r="E31" t="n">
        <v>1</v>
      </c>
      <c r="F31"/>
      <c r="G31"/>
    </row>
    <row r="32">
      <c r="A32" t="s">
        <v>145</v>
      </c>
      <c r="B32" t="s">
        <v>388</v>
      </c>
      <c r="C32" t="s">
        <v>389</v>
      </c>
      <c r="D32" t="s">
        <v>390</v>
      </c>
      <c r="E32" t="n">
        <v>1</v>
      </c>
      <c r="F32"/>
      <c r="G32"/>
    </row>
    <row r="33">
      <c r="A33" t="s">
        <v>146</v>
      </c>
      <c r="B33" t="s">
        <v>391</v>
      </c>
      <c r="C33" t="s">
        <v>389</v>
      </c>
      <c r="D33" t="s">
        <v>390</v>
      </c>
      <c r="E33" t="n">
        <v>1</v>
      </c>
      <c r="F33"/>
      <c r="G33"/>
    </row>
    <row r="34">
      <c r="A34" t="s">
        <v>155</v>
      </c>
      <c r="B34" t="s">
        <v>392</v>
      </c>
      <c r="C34" t="s">
        <v>393</v>
      </c>
      <c r="D34" t="s">
        <v>394</v>
      </c>
      <c r="E34" t="n">
        <v>1</v>
      </c>
      <c r="F34"/>
      <c r="G34"/>
    </row>
    <row r="35">
      <c r="A35" t="s">
        <v>156</v>
      </c>
      <c r="B35" t="s">
        <v>395</v>
      </c>
      <c r="C35" t="s">
        <v>393</v>
      </c>
      <c r="D35" t="s">
        <v>394</v>
      </c>
      <c r="E35" t="n">
        <v>1</v>
      </c>
      <c r="F35"/>
      <c r="G35"/>
    </row>
    <row r="36">
      <c r="A36" t="s">
        <v>157</v>
      </c>
      <c r="B36" t="s">
        <v>396</v>
      </c>
      <c r="C36" t="s">
        <v>393</v>
      </c>
      <c r="D36" t="s">
        <v>394</v>
      </c>
      <c r="E36" t="n">
        <v>1</v>
      </c>
      <c r="F36"/>
      <c r="G36"/>
    </row>
    <row r="37">
      <c r="A37" t="s">
        <v>158</v>
      </c>
      <c r="B37" t="s">
        <v>397</v>
      </c>
      <c r="C37" t="s">
        <v>393</v>
      </c>
      <c r="D37" t="s">
        <v>394</v>
      </c>
      <c r="E37" t="n">
        <v>1</v>
      </c>
      <c r="F37"/>
      <c r="G37"/>
    </row>
    <row r="38">
      <c r="A38" t="s">
        <v>159</v>
      </c>
      <c r="B38" t="s">
        <v>398</v>
      </c>
      <c r="C38" t="s">
        <v>393</v>
      </c>
      <c r="D38" t="s">
        <v>394</v>
      </c>
      <c r="E38" t="n">
        <v>1</v>
      </c>
      <c r="F38"/>
      <c r="G38"/>
    </row>
    <row r="39">
      <c r="A39" t="s">
        <v>160</v>
      </c>
      <c r="B39" t="s">
        <v>399</v>
      </c>
      <c r="C39" t="s">
        <v>400</v>
      </c>
      <c r="D39" t="s">
        <v>401</v>
      </c>
      <c r="E39" t="n">
        <v>1</v>
      </c>
      <c r="F39"/>
      <c r="G39"/>
    </row>
    <row r="40">
      <c r="A40" t="s">
        <v>161</v>
      </c>
      <c r="B40" t="s">
        <v>402</v>
      </c>
      <c r="C40" t="s">
        <v>400</v>
      </c>
      <c r="D40" t="s">
        <v>401</v>
      </c>
      <c r="E40" t="n">
        <v>1</v>
      </c>
      <c r="F40"/>
      <c r="G40"/>
    </row>
    <row r="41">
      <c r="A41" t="s">
        <v>162</v>
      </c>
      <c r="B41" t="s">
        <v>403</v>
      </c>
      <c r="C41" t="s">
        <v>400</v>
      </c>
      <c r="D41" t="s">
        <v>401</v>
      </c>
      <c r="E41" t="n">
        <v>1</v>
      </c>
      <c r="F41"/>
      <c r="G41"/>
    </row>
    <row r="42">
      <c r="A42" t="s">
        <v>163</v>
      </c>
      <c r="B42" t="s">
        <v>404</v>
      </c>
      <c r="C42" t="s">
        <v>400</v>
      </c>
      <c r="D42" t="s">
        <v>401</v>
      </c>
      <c r="E42" t="n">
        <v>1</v>
      </c>
      <c r="F42"/>
      <c r="G42"/>
    </row>
    <row r="43">
      <c r="A43" t="s">
        <v>164</v>
      </c>
      <c r="B43" t="s">
        <v>405</v>
      </c>
      <c r="C43" t="s">
        <v>400</v>
      </c>
      <c r="D43" t="s">
        <v>401</v>
      </c>
      <c r="E43" t="n">
        <v>1</v>
      </c>
      <c r="F43"/>
      <c r="G43"/>
    </row>
    <row r="44">
      <c r="A44" t="s">
        <v>165</v>
      </c>
      <c r="B44" t="s">
        <v>406</v>
      </c>
      <c r="C44" t="s">
        <v>340</v>
      </c>
      <c r="D44" t="s">
        <v>407</v>
      </c>
      <c r="E44" t="n">
        <v>1</v>
      </c>
      <c r="F44" t="s">
        <v>408</v>
      </c>
      <c r="G44"/>
    </row>
    <row r="45">
      <c r="A45" t="s">
        <v>166</v>
      </c>
      <c r="B45" t="s">
        <v>409</v>
      </c>
      <c r="C45" t="s">
        <v>400</v>
      </c>
      <c r="D45" t="s">
        <v>401</v>
      </c>
      <c r="E45" t="n">
        <v>1</v>
      </c>
      <c r="F45"/>
      <c r="G45"/>
    </row>
    <row r="46">
      <c r="A46" t="s">
        <v>167</v>
      </c>
      <c r="B46" t="s">
        <v>410</v>
      </c>
      <c r="C46" t="s">
        <v>400</v>
      </c>
      <c r="D46" t="s">
        <v>401</v>
      </c>
      <c r="E46" t="n">
        <v>1</v>
      </c>
      <c r="F46"/>
      <c r="G46"/>
    </row>
    <row r="47">
      <c r="A47" t="s">
        <v>168</v>
      </c>
      <c r="B47" t="s">
        <v>411</v>
      </c>
      <c r="C47" t="s">
        <v>412</v>
      </c>
      <c r="D47" t="s">
        <v>413</v>
      </c>
      <c r="E47" t="n">
        <v>1</v>
      </c>
      <c r="F47"/>
      <c r="G47"/>
    </row>
    <row r="48">
      <c r="A48" t="s">
        <v>169</v>
      </c>
      <c r="B48" t="s">
        <v>414</v>
      </c>
      <c r="C48" t="s">
        <v>412</v>
      </c>
      <c r="D48" t="s">
        <v>413</v>
      </c>
      <c r="E48" t="n">
        <v>1</v>
      </c>
      <c r="F48"/>
      <c r="G48"/>
    </row>
    <row r="49">
      <c r="A49" t="s">
        <v>170</v>
      </c>
      <c r="B49" t="s">
        <v>415</v>
      </c>
      <c r="C49" t="s">
        <v>412</v>
      </c>
      <c r="D49" t="s">
        <v>413</v>
      </c>
      <c r="E49" t="n">
        <v>0.25</v>
      </c>
      <c r="F49" t="s">
        <v>416</v>
      </c>
      <c r="G49"/>
    </row>
    <row r="50">
      <c r="A50" t="s">
        <v>170</v>
      </c>
      <c r="B50" t="s">
        <v>415</v>
      </c>
      <c r="C50" t="s">
        <v>185</v>
      </c>
      <c r="D50" t="s">
        <v>417</v>
      </c>
      <c r="E50" t="n">
        <v>0.75</v>
      </c>
      <c r="F50"/>
      <c r="G50"/>
    </row>
    <row r="51">
      <c r="A51" t="s">
        <v>171</v>
      </c>
      <c r="B51" t="s">
        <v>418</v>
      </c>
      <c r="C51" t="s">
        <v>419</v>
      </c>
      <c r="D51" t="s">
        <v>420</v>
      </c>
      <c r="E51" t="n">
        <v>1</v>
      </c>
      <c r="F51"/>
      <c r="G51"/>
    </row>
    <row r="52">
      <c r="A52" t="s">
        <v>172</v>
      </c>
      <c r="B52" t="s">
        <v>421</v>
      </c>
      <c r="C52" t="s">
        <v>422</v>
      </c>
      <c r="D52" t="s">
        <v>423</v>
      </c>
      <c r="E52" t="n">
        <v>1</v>
      </c>
      <c r="F52"/>
      <c r="G52"/>
    </row>
    <row r="53">
      <c r="A53" t="s">
        <v>173</v>
      </c>
      <c r="B53" t="s">
        <v>424</v>
      </c>
      <c r="C53" t="s">
        <v>422</v>
      </c>
      <c r="D53" t="s">
        <v>423</v>
      </c>
      <c r="E53" t="n">
        <v>1</v>
      </c>
      <c r="F53"/>
      <c r="G53"/>
    </row>
    <row r="54">
      <c r="A54" t="s">
        <v>174</v>
      </c>
      <c r="B54" t="s">
        <v>425</v>
      </c>
      <c r="C54" t="s">
        <v>422</v>
      </c>
      <c r="D54" t="s">
        <v>423</v>
      </c>
      <c r="E54" t="n">
        <v>1</v>
      </c>
      <c r="F54"/>
      <c r="G54"/>
    </row>
    <row r="55">
      <c r="A55" t="s">
        <v>175</v>
      </c>
      <c r="B55" t="s">
        <v>426</v>
      </c>
      <c r="C55" t="s">
        <v>422</v>
      </c>
      <c r="D55" t="s">
        <v>423</v>
      </c>
      <c r="E55" t="n">
        <v>1</v>
      </c>
      <c r="F55"/>
      <c r="G55"/>
    </row>
    <row r="56">
      <c r="A56" t="s">
        <v>176</v>
      </c>
      <c r="B56" t="s">
        <v>427</v>
      </c>
      <c r="C56" t="s">
        <v>428</v>
      </c>
      <c r="D56" t="s">
        <v>429</v>
      </c>
      <c r="E56" t="n">
        <v>1</v>
      </c>
      <c r="F56"/>
      <c r="G56"/>
    </row>
    <row r="57">
      <c r="A57" t="s">
        <v>177</v>
      </c>
      <c r="B57" t="s">
        <v>430</v>
      </c>
      <c r="C57" t="s">
        <v>428</v>
      </c>
      <c r="D57" t="s">
        <v>429</v>
      </c>
      <c r="E57" t="n">
        <v>1</v>
      </c>
      <c r="F57"/>
      <c r="G57"/>
    </row>
    <row r="58">
      <c r="A58" t="s">
        <v>178</v>
      </c>
      <c r="B58" t="s">
        <v>431</v>
      </c>
      <c r="C58" t="s">
        <v>432</v>
      </c>
      <c r="D58" t="s">
        <v>433</v>
      </c>
      <c r="E58" t="n">
        <v>1</v>
      </c>
      <c r="F58" t="s">
        <v>434</v>
      </c>
      <c r="G58"/>
    </row>
    <row r="59">
      <c r="A59" t="s">
        <v>179</v>
      </c>
      <c r="B59" t="s">
        <v>435</v>
      </c>
      <c r="C59" t="s">
        <v>432</v>
      </c>
      <c r="D59" t="s">
        <v>433</v>
      </c>
      <c r="E59" t="n">
        <v>1</v>
      </c>
      <c r="F59"/>
      <c r="G59"/>
    </row>
    <row r="60">
      <c r="A60" t="s">
        <v>181</v>
      </c>
      <c r="B60" t="s">
        <v>436</v>
      </c>
      <c r="C60" t="s">
        <v>432</v>
      </c>
      <c r="D60" t="s">
        <v>433</v>
      </c>
      <c r="E60" t="n">
        <v>1</v>
      </c>
      <c r="F60"/>
      <c r="G60"/>
    </row>
    <row r="61">
      <c r="A61" t="s">
        <v>180</v>
      </c>
      <c r="B61" t="s">
        <v>437</v>
      </c>
      <c r="C61" t="s">
        <v>419</v>
      </c>
      <c r="D61" t="s">
        <v>420</v>
      </c>
      <c r="E61" t="n">
        <v>1</v>
      </c>
      <c r="F61" t="s">
        <v>438</v>
      </c>
      <c r="G61"/>
    </row>
    <row r="62">
      <c r="A62" t="s">
        <v>182</v>
      </c>
      <c r="B62" t="s">
        <v>439</v>
      </c>
      <c r="C62" t="s">
        <v>432</v>
      </c>
      <c r="D62" t="s">
        <v>433</v>
      </c>
      <c r="E62" t="n">
        <v>1</v>
      </c>
      <c r="F62"/>
      <c r="G62"/>
    </row>
    <row r="63">
      <c r="A63" t="s">
        <v>183</v>
      </c>
      <c r="B63" t="s">
        <v>440</v>
      </c>
      <c r="C63" t="s">
        <v>432</v>
      </c>
      <c r="D63" t="s">
        <v>433</v>
      </c>
      <c r="E63" t="n">
        <v>1</v>
      </c>
      <c r="F63"/>
      <c r="G63"/>
    </row>
    <row r="64">
      <c r="A64" t="s">
        <v>184</v>
      </c>
      <c r="B64" t="s">
        <v>441</v>
      </c>
      <c r="C64" t="s">
        <v>343</v>
      </c>
      <c r="D64" t="s">
        <v>442</v>
      </c>
      <c r="E64" t="n">
        <v>1</v>
      </c>
      <c r="F64"/>
      <c r="G64"/>
    </row>
    <row r="65">
      <c r="A65" t="s">
        <v>185</v>
      </c>
      <c r="B65" t="s">
        <v>443</v>
      </c>
      <c r="C65" t="s">
        <v>444</v>
      </c>
      <c r="D65" t="s">
        <v>445</v>
      </c>
      <c r="E65" t="n">
        <v>1</v>
      </c>
      <c r="F65"/>
      <c r="G65"/>
    </row>
    <row r="66">
      <c r="A66" t="s">
        <v>186</v>
      </c>
      <c r="B66" t="s">
        <v>446</v>
      </c>
      <c r="C66" t="s">
        <v>447</v>
      </c>
      <c r="D66" t="s">
        <v>448</v>
      </c>
      <c r="E66" t="n">
        <v>1</v>
      </c>
      <c r="F66"/>
      <c r="G66"/>
    </row>
    <row r="67">
      <c r="A67" t="s">
        <v>187</v>
      </c>
      <c r="B67" t="s">
        <v>449</v>
      </c>
      <c r="C67" t="s">
        <v>447</v>
      </c>
      <c r="D67" t="s">
        <v>448</v>
      </c>
      <c r="E67" t="n">
        <v>1</v>
      </c>
      <c r="F67"/>
      <c r="G67"/>
    </row>
    <row r="68">
      <c r="A68" t="s">
        <v>188</v>
      </c>
      <c r="B68" t="s">
        <v>450</v>
      </c>
      <c r="C68" t="s">
        <v>447</v>
      </c>
      <c r="D68" t="s">
        <v>448</v>
      </c>
      <c r="E68" t="n">
        <v>1</v>
      </c>
      <c r="F68"/>
      <c r="G68"/>
    </row>
    <row r="69">
      <c r="A69" t="s">
        <v>189</v>
      </c>
      <c r="B69" t="s">
        <v>451</v>
      </c>
      <c r="C69" t="s">
        <v>447</v>
      </c>
      <c r="D69" t="s">
        <v>448</v>
      </c>
      <c r="E69" t="n">
        <v>1</v>
      </c>
      <c r="F69"/>
      <c r="G69"/>
    </row>
    <row r="70">
      <c r="A70" t="s">
        <v>190</v>
      </c>
      <c r="B70" t="s">
        <v>452</v>
      </c>
      <c r="C70" t="s">
        <v>453</v>
      </c>
      <c r="D70" t="s">
        <v>454</v>
      </c>
      <c r="E70" t="n">
        <v>1</v>
      </c>
      <c r="F70"/>
      <c r="G70"/>
    </row>
    <row r="71">
      <c r="A71" t="s">
        <v>191</v>
      </c>
      <c r="B71" t="s">
        <v>455</v>
      </c>
      <c r="C71" t="s">
        <v>453</v>
      </c>
      <c r="D71" t="s">
        <v>454</v>
      </c>
      <c r="E71" t="n">
        <v>1</v>
      </c>
      <c r="F71"/>
      <c r="G71"/>
    </row>
    <row r="72">
      <c r="A72" t="s">
        <v>192</v>
      </c>
      <c r="B72" t="s">
        <v>456</v>
      </c>
      <c r="C72" t="s">
        <v>457</v>
      </c>
      <c r="D72" t="s">
        <v>458</v>
      </c>
      <c r="E72" t="n">
        <v>1</v>
      </c>
      <c r="F72"/>
      <c r="G72"/>
    </row>
    <row r="73">
      <c r="A73" t="s">
        <v>193</v>
      </c>
      <c r="B73" t="s">
        <v>459</v>
      </c>
      <c r="C73" t="s">
        <v>457</v>
      </c>
      <c r="D73" t="s">
        <v>458</v>
      </c>
      <c r="E73" t="n">
        <v>1</v>
      </c>
      <c r="F73"/>
      <c r="G73"/>
    </row>
    <row r="74">
      <c r="A74" t="s">
        <v>194</v>
      </c>
      <c r="B74" t="s">
        <v>460</v>
      </c>
      <c r="C74" t="s">
        <v>453</v>
      </c>
      <c r="D74" t="s">
        <v>454</v>
      </c>
      <c r="E74" t="n">
        <v>1</v>
      </c>
      <c r="F74"/>
      <c r="G74"/>
    </row>
    <row r="75">
      <c r="A75" t="s">
        <v>195</v>
      </c>
      <c r="B75" t="s">
        <v>461</v>
      </c>
      <c r="C75" t="s">
        <v>462</v>
      </c>
      <c r="D75" t="s">
        <v>463</v>
      </c>
      <c r="E75" t="n">
        <v>1</v>
      </c>
      <c r="F75"/>
      <c r="G75"/>
    </row>
    <row r="76">
      <c r="A76" t="s">
        <v>196</v>
      </c>
      <c r="B76" t="s">
        <v>464</v>
      </c>
      <c r="C76" t="s">
        <v>462</v>
      </c>
      <c r="D76" t="s">
        <v>463</v>
      </c>
      <c r="E76" t="n">
        <v>1</v>
      </c>
      <c r="F76"/>
      <c r="G76"/>
    </row>
    <row r="77">
      <c r="A77" t="s">
        <v>197</v>
      </c>
      <c r="B77" t="s">
        <v>465</v>
      </c>
      <c r="C77" t="s">
        <v>462</v>
      </c>
      <c r="D77" t="s">
        <v>463</v>
      </c>
      <c r="E77" t="n">
        <v>1</v>
      </c>
      <c r="F77"/>
      <c r="G77"/>
    </row>
    <row r="78">
      <c r="A78" t="s">
        <v>198</v>
      </c>
      <c r="B78" t="s">
        <v>466</v>
      </c>
      <c r="C78" t="s">
        <v>462</v>
      </c>
      <c r="D78" t="s">
        <v>463</v>
      </c>
      <c r="E78" t="n">
        <v>1</v>
      </c>
      <c r="F78"/>
      <c r="G78"/>
    </row>
    <row r="79">
      <c r="A79" t="s">
        <v>199</v>
      </c>
      <c r="B79" t="s">
        <v>467</v>
      </c>
      <c r="C79" t="s">
        <v>462</v>
      </c>
      <c r="D79" t="s">
        <v>463</v>
      </c>
      <c r="E79" t="n">
        <v>1</v>
      </c>
      <c r="F79"/>
      <c r="G79"/>
    </row>
    <row r="80">
      <c r="A80" t="s">
        <v>132</v>
      </c>
      <c r="B80" t="s">
        <v>468</v>
      </c>
      <c r="C80" t="s">
        <v>469</v>
      </c>
      <c r="D80" t="s">
        <v>470</v>
      </c>
      <c r="E80" t="n">
        <v>0.0731998902378577</v>
      </c>
      <c r="F80"/>
      <c r="G80" t="s">
        <v>471</v>
      </c>
    </row>
    <row r="81">
      <c r="A81" t="s">
        <v>132</v>
      </c>
      <c r="B81" t="s">
        <v>468</v>
      </c>
      <c r="C81" t="s">
        <v>472</v>
      </c>
      <c r="D81" t="s">
        <v>473</v>
      </c>
      <c r="E81" t="n">
        <v>0.926800109762142</v>
      </c>
      <c r="F81"/>
      <c r="G81" t="s">
        <v>471</v>
      </c>
    </row>
    <row r="82">
      <c r="A82" t="s">
        <v>137</v>
      </c>
      <c r="B82" t="s">
        <v>474</v>
      </c>
      <c r="C82" t="s">
        <v>475</v>
      </c>
      <c r="D82" t="s">
        <v>476</v>
      </c>
      <c r="E82" t="n">
        <v>0.1</v>
      </c>
      <c r="F82"/>
      <c r="G82" t="s">
        <v>477</v>
      </c>
    </row>
    <row r="83">
      <c r="A83" t="s">
        <v>137</v>
      </c>
      <c r="B83" t="s">
        <v>474</v>
      </c>
      <c r="C83" t="s">
        <v>478</v>
      </c>
      <c r="D83" t="s">
        <v>479</v>
      </c>
      <c r="E83" t="n">
        <v>0.9</v>
      </c>
      <c r="F83"/>
      <c r="G83" t="s">
        <v>477</v>
      </c>
    </row>
    <row r="84">
      <c r="A84" t="s">
        <v>138</v>
      </c>
      <c r="B84" t="s">
        <v>480</v>
      </c>
      <c r="C84" t="s">
        <v>366</v>
      </c>
      <c r="D84" t="s">
        <v>367</v>
      </c>
      <c r="E84" t="n">
        <v>0.5</v>
      </c>
      <c r="F84"/>
      <c r="G84" t="s">
        <v>481</v>
      </c>
    </row>
    <row r="85">
      <c r="A85" t="s">
        <v>138</v>
      </c>
      <c r="B85" t="s">
        <v>480</v>
      </c>
      <c r="C85" t="s">
        <v>482</v>
      </c>
      <c r="D85" t="s">
        <v>483</v>
      </c>
      <c r="E85" t="n">
        <v>0.5</v>
      </c>
      <c r="F85"/>
      <c r="G85" t="s">
        <v>481</v>
      </c>
    </row>
    <row r="86">
      <c r="A86" t="s">
        <v>153</v>
      </c>
      <c r="B86" t="s">
        <v>484</v>
      </c>
      <c r="C86" t="s">
        <v>485</v>
      </c>
      <c r="D86" t="s">
        <v>486</v>
      </c>
      <c r="E86" t="n">
        <v>0.85</v>
      </c>
      <c r="F86"/>
      <c r="G86" t="s">
        <v>487</v>
      </c>
    </row>
    <row r="87">
      <c r="A87" t="s">
        <v>153</v>
      </c>
      <c r="B87" t="s">
        <v>484</v>
      </c>
      <c r="C87" t="s">
        <v>488</v>
      </c>
      <c r="D87" t="s">
        <v>489</v>
      </c>
      <c r="E87" t="n">
        <v>0.15</v>
      </c>
      <c r="F87"/>
      <c r="G87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490</v>
      </c>
    </row>
    <row r="2">
      <c r="A2" t="s">
        <v>1</v>
      </c>
    </row>
    <row r="3">
      <c r="A3" t="s">
        <v>491</v>
      </c>
    </row>
    <row r="4">
      <c r="A4" t="s">
        <v>492</v>
      </c>
    </row>
    <row r="5">
      <c r="A5" t="s">
        <v>493</v>
      </c>
    </row>
    <row r="6">
      <c r="A6" t="s">
        <v>494</v>
      </c>
    </row>
    <row r="7">
      <c r="A7" t="s">
        <v>495</v>
      </c>
    </row>
    <row r="8">
      <c r="A8" t="s">
        <v>496</v>
      </c>
    </row>
    <row r="9">
      <c r="A9" t="s">
        <v>1</v>
      </c>
    </row>
    <row r="11">
      <c r="A11" t="s">
        <v>319</v>
      </c>
      <c r="B11" t="s">
        <v>321</v>
      </c>
      <c r="C11" t="s">
        <v>323</v>
      </c>
      <c r="D11" t="s">
        <v>325</v>
      </c>
    </row>
    <row r="12">
      <c r="A12" t="n">
        <v>212</v>
      </c>
      <c r="B12" t="s">
        <v>469</v>
      </c>
      <c r="C12" t="n">
        <v>0.0731998902378577</v>
      </c>
      <c r="D12" t="s">
        <v>471</v>
      </c>
    </row>
    <row r="13">
      <c r="A13" t="n">
        <v>212</v>
      </c>
      <c r="B13" t="s">
        <v>472</v>
      </c>
      <c r="C13" t="n">
        <v>0.926800109762142</v>
      </c>
      <c r="D13" t="s">
        <v>471</v>
      </c>
    </row>
    <row r="14">
      <c r="A14" t="n">
        <v>327</v>
      </c>
      <c r="B14" t="s">
        <v>475</v>
      </c>
      <c r="C14" t="n">
        <v>0.1</v>
      </c>
      <c r="D14" t="s">
        <v>477</v>
      </c>
    </row>
    <row r="15">
      <c r="A15" t="n">
        <v>327</v>
      </c>
      <c r="B15" t="s">
        <v>478</v>
      </c>
      <c r="C15" t="n">
        <v>0.9</v>
      </c>
      <c r="D15" t="s">
        <v>477</v>
      </c>
    </row>
    <row r="16">
      <c r="A16" t="n">
        <v>331</v>
      </c>
      <c r="B16" t="s">
        <v>366</v>
      </c>
      <c r="C16" t="n">
        <v>0.5</v>
      </c>
      <c r="D16" t="s">
        <v>481</v>
      </c>
    </row>
    <row r="17">
      <c r="A17" t="n">
        <v>331</v>
      </c>
      <c r="B17" t="s">
        <v>482</v>
      </c>
      <c r="C17" t="n">
        <v>0.5</v>
      </c>
      <c r="D17" t="s">
        <v>481</v>
      </c>
    </row>
    <row r="18">
      <c r="A18" t="n">
        <v>325</v>
      </c>
      <c r="B18" t="s">
        <v>485</v>
      </c>
      <c r="C18" t="n">
        <v>0.85</v>
      </c>
      <c r="D18" t="s">
        <v>487</v>
      </c>
    </row>
    <row r="19">
      <c r="A19" t="n">
        <v>325</v>
      </c>
      <c r="B19" t="s">
        <v>488</v>
      </c>
      <c r="C19" t="n">
        <v>0.15</v>
      </c>
      <c r="D19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497</v>
      </c>
    </row>
    <row r="2">
      <c r="A2" t="s">
        <v>498</v>
      </c>
    </row>
    <row r="3">
      <c r="A3" t="s">
        <v>499</v>
      </c>
    </row>
    <row r="4">
      <c r="A4" t="s">
        <v>500</v>
      </c>
    </row>
    <row r="5">
      <c r="A5" t="s">
        <v>1</v>
      </c>
    </row>
    <row r="7">
      <c r="A7" t="s">
        <v>501</v>
      </c>
      <c r="B7" t="s">
        <v>502</v>
      </c>
      <c r="C7" t="s">
        <v>503</v>
      </c>
    </row>
    <row r="8">
      <c r="A8" t="s">
        <v>327</v>
      </c>
      <c r="B8" t="s">
        <v>504</v>
      </c>
      <c r="C8" t="s">
        <v>505</v>
      </c>
    </row>
    <row r="9">
      <c r="A9" t="s">
        <v>469</v>
      </c>
      <c r="B9" t="s">
        <v>470</v>
      </c>
      <c r="C9" t="s">
        <v>506</v>
      </c>
    </row>
    <row r="10">
      <c r="A10" t="s">
        <v>331</v>
      </c>
      <c r="B10" t="s">
        <v>332</v>
      </c>
      <c r="C10" t="s">
        <v>507</v>
      </c>
    </row>
    <row r="11">
      <c r="A11" t="s">
        <v>472</v>
      </c>
      <c r="B11" t="s">
        <v>508</v>
      </c>
      <c r="C11" t="s">
        <v>509</v>
      </c>
    </row>
    <row r="12">
      <c r="A12" t="s">
        <v>334</v>
      </c>
      <c r="B12" t="s">
        <v>335</v>
      </c>
      <c r="C12" t="s">
        <v>510</v>
      </c>
    </row>
    <row r="13">
      <c r="A13" t="s">
        <v>349</v>
      </c>
      <c r="B13" t="s">
        <v>511</v>
      </c>
      <c r="C13" t="s">
        <v>512</v>
      </c>
    </row>
    <row r="14">
      <c r="A14" t="s">
        <v>352</v>
      </c>
      <c r="B14" t="s">
        <v>513</v>
      </c>
      <c r="C14" t="s">
        <v>514</v>
      </c>
    </row>
    <row r="15">
      <c r="A15" t="s">
        <v>356</v>
      </c>
      <c r="B15" t="s">
        <v>515</v>
      </c>
      <c r="C15" t="s">
        <v>516</v>
      </c>
    </row>
    <row r="16">
      <c r="A16" t="s">
        <v>359</v>
      </c>
      <c r="B16" t="s">
        <v>360</v>
      </c>
      <c r="C16" t="s">
        <v>517</v>
      </c>
    </row>
    <row r="17">
      <c r="A17" t="s">
        <v>363</v>
      </c>
      <c r="B17" t="s">
        <v>364</v>
      </c>
      <c r="C17" t="s">
        <v>518</v>
      </c>
    </row>
    <row r="18">
      <c r="A18" t="s">
        <v>485</v>
      </c>
      <c r="B18" t="s">
        <v>519</v>
      </c>
      <c r="C18" t="s">
        <v>520</v>
      </c>
    </row>
    <row r="19">
      <c r="A19" t="s">
        <v>488</v>
      </c>
      <c r="B19" t="s">
        <v>521</v>
      </c>
      <c r="C19" t="s">
        <v>522</v>
      </c>
    </row>
    <row r="20">
      <c r="A20" t="s">
        <v>134</v>
      </c>
      <c r="B20" t="s">
        <v>370</v>
      </c>
      <c r="C20" t="s">
        <v>523</v>
      </c>
    </row>
    <row r="21">
      <c r="A21" t="s">
        <v>475</v>
      </c>
      <c r="B21" t="s">
        <v>524</v>
      </c>
      <c r="C21" t="s">
        <v>525</v>
      </c>
    </row>
    <row r="22">
      <c r="A22" t="s">
        <v>478</v>
      </c>
      <c r="B22" t="s">
        <v>526</v>
      </c>
      <c r="C22" t="s">
        <v>527</v>
      </c>
    </row>
    <row r="23">
      <c r="A23" t="s">
        <v>366</v>
      </c>
      <c r="B23" t="s">
        <v>528</v>
      </c>
      <c r="C23" t="s">
        <v>529</v>
      </c>
    </row>
    <row r="24">
      <c r="A24" t="s">
        <v>482</v>
      </c>
      <c r="B24" t="s">
        <v>530</v>
      </c>
      <c r="C24" t="s">
        <v>531</v>
      </c>
    </row>
    <row r="25">
      <c r="A25" t="s">
        <v>372</v>
      </c>
      <c r="B25" t="s">
        <v>532</v>
      </c>
      <c r="C25" t="s">
        <v>533</v>
      </c>
    </row>
    <row r="26">
      <c r="A26" t="s">
        <v>377</v>
      </c>
      <c r="B26" t="s">
        <v>378</v>
      </c>
      <c r="C26" t="s">
        <v>534</v>
      </c>
    </row>
    <row r="27">
      <c r="A27" t="s">
        <v>380</v>
      </c>
      <c r="B27" t="s">
        <v>381</v>
      </c>
      <c r="C27" t="s">
        <v>535</v>
      </c>
    </row>
    <row r="28">
      <c r="A28" t="s">
        <v>374</v>
      </c>
      <c r="B28" t="s">
        <v>375</v>
      </c>
      <c r="C28" t="s">
        <v>536</v>
      </c>
    </row>
    <row r="29">
      <c r="A29" t="s">
        <v>383</v>
      </c>
      <c r="B29" t="s">
        <v>537</v>
      </c>
      <c r="C29" t="s">
        <v>538</v>
      </c>
    </row>
    <row r="30">
      <c r="A30" t="s">
        <v>386</v>
      </c>
      <c r="B30" t="s">
        <v>387</v>
      </c>
      <c r="C30" t="s">
        <v>539</v>
      </c>
    </row>
    <row r="31">
      <c r="A31" t="s">
        <v>389</v>
      </c>
      <c r="B31" t="s">
        <v>540</v>
      </c>
      <c r="C31" t="s">
        <v>541</v>
      </c>
    </row>
    <row r="32">
      <c r="A32" t="s">
        <v>337</v>
      </c>
      <c r="B32" t="s">
        <v>542</v>
      </c>
      <c r="C32" t="s">
        <v>543</v>
      </c>
    </row>
    <row r="33">
      <c r="A33" t="s">
        <v>340</v>
      </c>
      <c r="B33" t="s">
        <v>544</v>
      </c>
      <c r="C33" t="s">
        <v>545</v>
      </c>
    </row>
    <row r="34">
      <c r="A34" t="s">
        <v>343</v>
      </c>
      <c r="B34" t="s">
        <v>546</v>
      </c>
      <c r="C34" t="s">
        <v>547</v>
      </c>
    </row>
    <row r="35">
      <c r="A35" t="s">
        <v>347</v>
      </c>
      <c r="B35" t="s">
        <v>346</v>
      </c>
      <c r="C35" t="s">
        <v>548</v>
      </c>
    </row>
    <row r="36">
      <c r="A36" t="s">
        <v>393</v>
      </c>
      <c r="B36" t="s">
        <v>549</v>
      </c>
      <c r="C36" t="s">
        <v>550</v>
      </c>
    </row>
    <row r="37">
      <c r="A37" t="s">
        <v>400</v>
      </c>
      <c r="B37" t="s">
        <v>401</v>
      </c>
      <c r="C37" t="s">
        <v>551</v>
      </c>
    </row>
    <row r="38">
      <c r="A38" t="s">
        <v>457</v>
      </c>
      <c r="B38" t="s">
        <v>552</v>
      </c>
      <c r="C38" t="s">
        <v>553</v>
      </c>
    </row>
    <row r="39">
      <c r="A39" t="s">
        <v>412</v>
      </c>
      <c r="B39" t="s">
        <v>554</v>
      </c>
      <c r="C39" t="s">
        <v>555</v>
      </c>
    </row>
    <row r="40">
      <c r="A40" t="s">
        <v>185</v>
      </c>
      <c r="B40" t="s">
        <v>417</v>
      </c>
      <c r="C40" t="s">
        <v>556</v>
      </c>
    </row>
    <row r="41">
      <c r="A41" t="s">
        <v>419</v>
      </c>
      <c r="B41" t="s">
        <v>420</v>
      </c>
      <c r="C41" t="s">
        <v>557</v>
      </c>
    </row>
    <row r="42">
      <c r="A42" t="s">
        <v>422</v>
      </c>
      <c r="B42" t="s">
        <v>558</v>
      </c>
      <c r="C42" t="s">
        <v>559</v>
      </c>
    </row>
    <row r="43">
      <c r="A43" t="s">
        <v>428</v>
      </c>
      <c r="B43" t="s">
        <v>429</v>
      </c>
      <c r="C43" t="s">
        <v>560</v>
      </c>
    </row>
    <row r="44">
      <c r="A44" t="s">
        <v>432</v>
      </c>
      <c r="B44" t="s">
        <v>561</v>
      </c>
      <c r="C44" t="s">
        <v>562</v>
      </c>
    </row>
    <row r="45">
      <c r="A45" t="s">
        <v>462</v>
      </c>
      <c r="B45" t="s">
        <v>563</v>
      </c>
      <c r="C45" t="s">
        <v>564</v>
      </c>
    </row>
    <row r="46">
      <c r="A46" t="s">
        <v>444</v>
      </c>
      <c r="B46" t="s">
        <v>445</v>
      </c>
      <c r="C46" t="s">
        <v>565</v>
      </c>
    </row>
    <row r="47">
      <c r="A47" t="s">
        <v>447</v>
      </c>
      <c r="B47" t="s">
        <v>566</v>
      </c>
      <c r="C47" t="s">
        <v>567</v>
      </c>
    </row>
    <row r="48">
      <c r="A48" t="s">
        <v>453</v>
      </c>
      <c r="B48" t="s">
        <v>568</v>
      </c>
      <c r="C48" t="s">
        <v>569</v>
      </c>
    </row>
    <row r="49">
      <c r="A49" t="s">
        <v>570</v>
      </c>
      <c r="B49" t="s">
        <v>571</v>
      </c>
      <c r="C49" t="s">
        <v>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573</v>
      </c>
    </row>
    <row r="2">
      <c r="A2" t="s">
        <v>319</v>
      </c>
      <c r="B2" t="s">
        <v>321</v>
      </c>
      <c r="C2" t="s">
        <v>323</v>
      </c>
      <c r="D2" t="s">
        <v>574</v>
      </c>
      <c r="E2" t="s">
        <v>575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IFERROR(INDEX('2_VA_total_by_BEA'!$B$2:$B$72, MATCH($A3, '2_VA_total_by_BEA'!$A$2:$A$72,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IFERROR(INDEX('2_VA_total_by_BEA'!$B$2:$B$72, MATCH($A4, '2_VA_total_by_BEA'!$A$2:$A$72,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IFERROR(INDEX('2_VA_total_by_BEA'!$B$2:$B$72, MATCH($A5, '2_VA_total_by_BEA'!$A$2:$A$72,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IFERROR(INDEX('2_VA_total_by_BEA'!$B$2:$B$72, MATCH($A6, '2_VA_total_by_BEA'!$A$2:$A$72,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IFERROR(INDEX('2_VA_total_by_BEA'!$B$2:$B$72, MATCH($A7, '2_VA_total_by_BEA'!$A$2:$A$72,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IFERROR(INDEX('2_VA_total_by_BEA'!$B$2:$B$72, MATCH($A8, '2_VA_total_by_BEA'!$A$2:$A$72,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IFERROR(INDEX('2_VA_total_by_BEA'!$B$2:$B$72, MATCH($A9, '2_VA_total_by_BEA'!$A$2:$A$72,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IFERROR(INDEX('2_VA_total_by_BEA'!$B$2:$B$72, MATCH($A10, '2_VA_total_by_BEA'!$A$2:$A$72,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IFERROR(INDEX('2_VA_total_by_BEA'!$B$2:$B$72, MATCH($A11, '2_VA_total_by_BEA'!$A$2:$A$72,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IFERROR(INDEX('2_VA_total_by_BEA'!$B$2:$B$72, MATCH($A12, '2_VA_total_by_BEA'!$A$2:$A$72,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IFERROR(INDEX('2_VA_total_by_BEA'!$B$2:$B$72, MATCH($A13, '2_VA_total_by_BEA'!$A$2:$A$72,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IFERROR(INDEX('2_VA_total_by_BEA'!$B$2:$B$72, MATCH($A14, '2_VA_total_by_BEA'!$A$2:$A$72,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IFERROR(INDEX('2_VA_total_by_BEA'!$B$2:$B$72, MATCH($A15, '2_VA_total_by_BEA'!$A$2:$A$72,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IFERROR(INDEX('2_VA_total_by_BEA'!$B$2:$B$72, MATCH($A16, '2_VA_total_by_BEA'!$A$2:$A$72,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IFERROR(INDEX('2_VA_total_by_BEA'!$B$2:$B$72, MATCH($A17, '2_VA_total_by_BEA'!$A$2:$A$72,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IFERROR(INDEX('2_VA_total_by_BEA'!$B$2:$B$72, MATCH($A18, '2_VA_total_by_BEA'!$A$2:$A$72,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IFERROR(INDEX('2_VA_total_by_BEA'!$B$2:$B$72, MATCH($A19, '2_VA_total_by_BEA'!$A$2:$A$72,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IFERROR(INDEX('2_VA_total_by_BEA'!$B$2:$B$72, MATCH($A20, '2_VA_total_by_BEA'!$A$2:$A$72,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IFERROR(INDEX('2_VA_total_by_BEA'!$B$2:$B$72, MATCH($A21, '2_VA_total_by_BEA'!$A$2:$A$72,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IFERROR(INDEX('2_VA_total_by_BEA'!$B$2:$B$72, MATCH($A22, '2_VA_total_by_BEA'!$A$2:$A$72,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IFERROR(INDEX('2_VA_total_by_BEA'!$B$2:$B$72, MATCH($A23, '2_VA_total_by_BEA'!$A$2:$A$72,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IFERROR(INDEX('2_VA_total_by_BEA'!$B$2:$B$72, MATCH($A24, '2_VA_total_by_BEA'!$A$2:$A$72,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IFERROR(INDEX('2_VA_total_by_BEA'!$B$2:$B$72, MATCH($A25, '2_VA_total_by_BEA'!$A$2:$A$72,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IFERROR(INDEX('2_VA_total_by_BEA'!$B$2:$B$72, MATCH($A26, '2_VA_total_by_BEA'!$A$2:$A$72,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IFERROR(INDEX('2_VA_total_by_BEA'!$B$2:$B$72, MATCH($A27, '2_VA_total_by_BEA'!$A$2:$A$72,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IFERROR(INDEX('2_VA_total_by_BEA'!$B$2:$B$72, MATCH($A28, '2_VA_total_by_BEA'!$A$2:$A$72,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IFERROR(INDEX('2_VA_total_by_BEA'!$B$2:$B$72, MATCH($A29, '2_VA_total_by_BEA'!$A$2:$A$72,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IFERROR(INDEX('2_VA_total_by_BEA'!$B$2:$B$72, MATCH($A30, '2_VA_total_by_BEA'!$A$2:$A$72,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IFERROR(INDEX('2_VA_total_by_BEA'!$B$2:$B$72, MATCH($A31, '2_VA_total_by_BEA'!$A$2:$A$72,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IFERROR(INDEX('2_VA_total_by_BEA'!$B$2:$B$72, MATCH($A32, '2_VA_total_by_BEA'!$A$2:$A$72,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IFERROR(INDEX('2_VA_total_by_BEA'!$B$2:$B$72, MATCH($A33, '2_VA_total_by_BEA'!$A$2:$A$72,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IFERROR(INDEX('2_VA_total_by_BEA'!$B$2:$B$72, MATCH($A34, '2_VA_total_by_BEA'!$A$2:$A$72,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IFERROR(INDEX('2_VA_total_by_BEA'!$B$2:$B$72, MATCH($A35, '2_VA_total_by_BEA'!$A$2:$A$72,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IFERROR(INDEX('2_VA_total_by_BEA'!$B$2:$B$72, MATCH($A36, '2_VA_total_by_BEA'!$A$2:$A$72,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IFERROR(INDEX('2_VA_total_by_BEA'!$B$2:$B$72, MATCH($A37, '2_VA_total_by_BEA'!$A$2:$A$72,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IFERROR(INDEX('2_VA_total_by_BEA'!$B$2:$B$72, MATCH($A38, '2_VA_total_by_BEA'!$A$2:$A$72,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IFERROR(INDEX('2_VA_total_by_BEA'!$B$2:$B$72, MATCH($A39, '2_VA_total_by_BEA'!$A$2:$A$72,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IFERROR(INDEX('2_VA_total_by_BEA'!$B$2:$B$72, MATCH($A40, '2_VA_total_by_BEA'!$A$2:$A$72,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IFERROR(INDEX('2_VA_total_by_BEA'!$B$2:$B$72, MATCH($A41, '2_VA_total_by_BEA'!$A$2:$A$72,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IFERROR(INDEX('2_VA_total_by_BEA'!$B$2:$B$72, MATCH($A42, '2_VA_total_by_BEA'!$A$2:$A$72,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IFERROR(INDEX('2_VA_total_by_BEA'!$B$2:$B$72, MATCH($A43, '2_VA_total_by_BEA'!$A$2:$A$72,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IFERROR(INDEX('2_VA_total_by_BEA'!$B$2:$B$72, MATCH($A44, '2_VA_total_by_BEA'!$A$2:$A$72,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IFERROR(INDEX('2_VA_total_by_BEA'!$B$2:$B$72, MATCH($A45, '2_VA_total_by_BEA'!$A$2:$A$72,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IFERROR(INDEX('2_VA_total_by_BEA'!$B$2:$B$72, MATCH($A46, '2_VA_total_by_BEA'!$A$2:$A$72,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IFERROR(INDEX('2_VA_total_by_BEA'!$B$2:$B$72, MATCH($A47, '2_VA_total_by_BEA'!$A$2:$A$72,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IFERROR(INDEX('2_VA_total_by_BEA'!$B$2:$B$72, MATCH($A48, '2_VA_total_by_BEA'!$A$2:$A$72,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IFERROR(INDEX('2_VA_total_by_BEA'!$B$2:$B$72, MATCH($A49, '2_VA_total_by_BEA'!$A$2:$A$72,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IFERROR(INDEX('2_VA_total_by_BEA'!$B$2:$B$72, MATCH($A50, '2_VA_total_by_BEA'!$A$2:$A$72,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IFERROR(INDEX('2_VA_total_by_BEA'!$B$2:$B$72, MATCH($A51, '2_VA_total_by_BEA'!$A$2:$A$72,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IFERROR(INDEX('2_VA_total_by_BEA'!$B$2:$B$72, MATCH($A52, '2_VA_total_by_BEA'!$A$2:$A$72,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IFERROR(INDEX('2_VA_total_by_BEA'!$B$2:$B$72, MATCH($A53, '2_VA_total_by_BEA'!$A$2:$A$72,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IFERROR(INDEX('2_VA_total_by_BEA'!$B$2:$B$72, MATCH($A54, '2_VA_total_by_BEA'!$A$2:$A$72,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IFERROR(INDEX('2_VA_total_by_BEA'!$B$2:$B$72, MATCH($A55, '2_VA_total_by_BEA'!$A$2:$A$72,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IFERROR(INDEX('2_VA_total_by_BEA'!$B$2:$B$72, MATCH($A56, '2_VA_total_by_BEA'!$A$2:$A$72,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IFERROR(INDEX('2_VA_total_by_BEA'!$B$2:$B$72, MATCH($A57, '2_VA_total_by_BEA'!$A$2:$A$72,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IFERROR(INDEX('2_VA_total_by_BEA'!$B$2:$B$72, MATCH($A58, '2_VA_total_by_BEA'!$A$2:$A$72,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IFERROR(INDEX('2_VA_total_by_BEA'!$B$2:$B$72, MATCH($A59, '2_VA_total_by_BEA'!$A$2:$A$72,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IFERROR(INDEX('2_VA_total_by_BEA'!$B$2:$B$72, MATCH($A60, '2_VA_total_by_BEA'!$A$2:$A$72,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IFERROR(INDEX('2_VA_total_by_BEA'!$B$2:$B$72, MATCH($A61, '2_VA_total_by_BEA'!$A$2:$A$72,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IFERROR(INDEX('2_VA_total_by_BEA'!$B$2:$B$72, MATCH($A62, '2_VA_total_by_BEA'!$A$2:$A$72,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IFERROR(INDEX('2_VA_total_by_BEA'!$B$2:$B$72, MATCH($A63, '2_VA_total_by_BEA'!$A$2:$A$72,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IFERROR(INDEX('2_VA_total_by_BEA'!$B$2:$B$72, MATCH($A64, '2_VA_total_by_BEA'!$A$2:$A$72,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IFERROR(INDEX('2_VA_total_by_BEA'!$B$2:$B$72, MATCH($A65, '2_VA_total_by_BEA'!$A$2:$A$72,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IFERROR(INDEX('2_VA_total_by_BEA'!$B$2:$B$72, MATCH($A66, '2_VA_total_by_BEA'!$A$2:$A$72,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IFERROR(INDEX('2_VA_total_by_BEA'!$B$2:$B$72, MATCH($A67, '2_VA_total_by_BEA'!$A$2:$A$72,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IFERROR(INDEX('2_VA_total_by_BEA'!$B$2:$B$72, MATCH($A68, '2_VA_total_by_BEA'!$A$2:$A$72,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IFERROR(INDEX('2_VA_total_by_BEA'!$B$2:$B$72, MATCH($A69, '2_VA_total_by_BEA'!$A$2:$A$72,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IFERROR(INDEX('2_VA_total_by_BEA'!$B$2:$B$72, MATCH($A70, '2_VA_total_by_BEA'!$A$2:$A$72,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IFERROR(INDEX('2_VA_total_by_BEA'!$B$2:$B$72, MATCH($A71, '2_VA_total_by_BEA'!$A$2:$A$72,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IFERROR(INDEX('2_VA_total_by_BEA'!$B$2:$B$72, MATCH($A72, '2_VA_total_by_BEA'!$A$2:$A$72,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IFERROR(INDEX('2_VA_total_by_BEA'!$B$2:$B$72, MATCH($A73, '2_VA_total_by_BEA'!$A$2:$A$72,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IFERROR(INDEX('2_VA_total_by_BEA'!$B$2:$B$72, MATCH($A74, '2_VA_total_by_BEA'!$A$2:$A$72,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IFERROR(INDEX('2_VA_total_by_BEA'!$B$2:$B$72, MATCH($A75, '2_VA_total_by_BEA'!$A$2:$A$72,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IFERROR(INDEX('2_VA_total_by_BEA'!$B$2:$B$72, MATCH($A76, '2_VA_total_by_BEA'!$A$2:$A$72,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IFERROR(INDEX('2_VA_total_by_BEA'!$B$2:$B$72, MATCH($A77, '2_VA_total_by_BEA'!$A$2:$A$72,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IFERROR(INDEX('2_VA_total_by_BEA'!$B$2:$B$72, MATCH($A78, '2_VA_total_by_BEA'!$A$2:$A$72,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IFERROR(INDEX('2_VA_total_by_BEA'!$B$2:$B$72, MATCH($A79, '2_VA_total_by_BEA'!$A$2:$A$72,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IFERROR(INDEX('2_VA_total_by_BEA'!$B$2:$B$72, MATCH($A80, '2_VA_total_by_BEA'!$A$2:$A$72,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IFERROR(INDEX('2_VA_total_by_BEA'!$B$2:$B$72, MATCH($A81, '2_VA_total_by_BEA'!$A$2:$A$72, 0)), 0)</f>
      </c>
      <c r="E81" t="str">
        <f>C81*D81</f>
      </c>
    </row>
    <row r="83">
      <c r="A83" t="s">
        <v>576</v>
      </c>
    </row>
    <row r="84">
      <c r="A84" t="s">
        <v>321</v>
      </c>
      <c r="B84" t="s">
        <v>577</v>
      </c>
      <c r="C84" t="s">
        <v>578</v>
      </c>
    </row>
    <row r="85">
      <c r="A85" t="s">
        <v>327</v>
      </c>
      <c r="B85" t="str">
        <f>SUMIFS('6_Calc_ISIC_aggregation'!$E$3:$E$81, '6_Calc_ISIC_aggregation'!$B$3:$B$81, $A85)</f>
      </c>
      <c r="C85" t="str">
        <f>B85/Keys!$C$2</f>
      </c>
    </row>
    <row r="86">
      <c r="A86" t="s">
        <v>469</v>
      </c>
      <c r="B86" t="str">
        <f>SUMIFS('6_Calc_ISIC_aggregation'!$E$3:$E$81, '6_Calc_ISIC_aggregation'!$B$3:$B$81, $A86)</f>
      </c>
      <c r="C86" t="str">
        <f>B86/Keys!$C$2</f>
      </c>
    </row>
    <row r="87">
      <c r="A87" t="s">
        <v>331</v>
      </c>
      <c r="B87" t="str">
        <f>SUMIFS('6_Calc_ISIC_aggregation'!$E$3:$E$81, '6_Calc_ISIC_aggregation'!$B$3:$B$81, $A87)</f>
      </c>
      <c r="C87" t="str">
        <f>B87/Keys!$C$2</f>
      </c>
    </row>
    <row r="88">
      <c r="A88" t="s">
        <v>472</v>
      </c>
      <c r="B88" t="str">
        <f>SUMIFS('6_Calc_ISIC_aggregation'!$E$3:$E$81, '6_Calc_ISIC_aggregation'!$B$3:$B$81, $A88)</f>
      </c>
      <c r="C88" t="str">
        <f>B88/Keys!$C$2</f>
      </c>
    </row>
    <row r="89">
      <c r="A89" t="s">
        <v>334</v>
      </c>
      <c r="B89" t="str">
        <f>SUMIFS('6_Calc_ISIC_aggregation'!$E$3:$E$81, '6_Calc_ISIC_aggregation'!$B$3:$B$81, $A89)</f>
      </c>
      <c r="C89" t="str">
        <f>B89/Keys!$C$2</f>
      </c>
    </row>
    <row r="90">
      <c r="A90" t="s">
        <v>349</v>
      </c>
      <c r="B90" t="str">
        <f>SUMIFS('6_Calc_ISIC_aggregation'!$E$3:$E$81, '6_Calc_ISIC_aggregation'!$B$3:$B$81, $A90)</f>
      </c>
      <c r="C90" t="str">
        <f>B90/Keys!$C$2</f>
      </c>
    </row>
    <row r="91">
      <c r="A91" t="s">
        <v>352</v>
      </c>
      <c r="B91" t="str">
        <f>SUMIFS('6_Calc_ISIC_aggregation'!$E$3:$E$81, '6_Calc_ISIC_aggregation'!$B$3:$B$81, $A91)</f>
      </c>
      <c r="C91" t="str">
        <f>B91/Keys!$C$2</f>
      </c>
    </row>
    <row r="92">
      <c r="A92" t="s">
        <v>356</v>
      </c>
      <c r="B92" t="str">
        <f>SUMIFS('6_Calc_ISIC_aggregation'!$E$3:$E$81, '6_Calc_ISIC_aggregation'!$B$3:$B$81, $A92)</f>
      </c>
      <c r="C92" t="str">
        <f>B92/Keys!$C$2</f>
      </c>
    </row>
    <row r="93">
      <c r="A93" t="s">
        <v>359</v>
      </c>
      <c r="B93" t="str">
        <f>SUMIFS('6_Calc_ISIC_aggregation'!$E$3:$E$81, '6_Calc_ISIC_aggregation'!$B$3:$B$81, $A93)</f>
      </c>
      <c r="C93" t="str">
        <f>B93/Keys!$C$2</f>
      </c>
    </row>
    <row r="94">
      <c r="A94" t="s">
        <v>363</v>
      </c>
      <c r="B94" t="str">
        <f>SUMIFS('6_Calc_ISIC_aggregation'!$E$3:$E$81, '6_Calc_ISIC_aggregation'!$B$3:$B$81, $A94)</f>
      </c>
      <c r="C94" t="str">
        <f>B94/Keys!$C$2</f>
      </c>
    </row>
    <row r="95">
      <c r="A95" t="s">
        <v>485</v>
      </c>
      <c r="B95" t="str">
        <f>SUMIFS('6_Calc_ISIC_aggregation'!$E$3:$E$81, '6_Calc_ISIC_aggregation'!$B$3:$B$81, $A95)</f>
      </c>
      <c r="C95" t="str">
        <f>B95/Keys!$C$2</f>
      </c>
    </row>
    <row r="96">
      <c r="A96" t="s">
        <v>488</v>
      </c>
      <c r="B96" t="str">
        <f>SUMIFS('6_Calc_ISIC_aggregation'!$E$3:$E$81, '6_Calc_ISIC_aggregation'!$B$3:$B$81, $A96)</f>
      </c>
      <c r="C96" t="str">
        <f>B96/Keys!$C$2</f>
      </c>
    </row>
    <row r="97">
      <c r="A97" t="s">
        <v>134</v>
      </c>
      <c r="B97" t="str">
        <f>SUMIFS('6_Calc_ISIC_aggregation'!$E$3:$E$81, '6_Calc_ISIC_aggregation'!$B$3:$B$81, $A97)</f>
      </c>
      <c r="C97" t="str">
        <f>B97/Keys!$C$2</f>
      </c>
    </row>
    <row r="98">
      <c r="A98" t="s">
        <v>475</v>
      </c>
      <c r="B98" t="str">
        <f>SUMIFS('6_Calc_ISIC_aggregation'!$E$3:$E$81, '6_Calc_ISIC_aggregation'!$B$3:$B$81, $A98)</f>
      </c>
      <c r="C98" t="str">
        <f>B98/Keys!$C$2</f>
      </c>
    </row>
    <row r="99">
      <c r="A99" t="s">
        <v>478</v>
      </c>
      <c r="B99" t="str">
        <f>SUMIFS('6_Calc_ISIC_aggregation'!$E$3:$E$81, '6_Calc_ISIC_aggregation'!$B$3:$B$81, $A99)</f>
      </c>
      <c r="C99" t="str">
        <f>B99/Keys!$C$2</f>
      </c>
    </row>
    <row r="100">
      <c r="A100" t="s">
        <v>366</v>
      </c>
      <c r="B100" t="str">
        <f>SUMIFS('6_Calc_ISIC_aggregation'!$E$3:$E$81, '6_Calc_ISIC_aggregation'!$B$3:$B$81, $A100)</f>
      </c>
      <c r="C100" t="str">
        <f>B100/Keys!$C$2</f>
      </c>
    </row>
    <row r="101">
      <c r="A101" t="s">
        <v>482</v>
      </c>
      <c r="B101" t="str">
        <f>SUMIFS('6_Calc_ISIC_aggregation'!$E$3:$E$81, '6_Calc_ISIC_aggregation'!$B$3:$B$81, $A101)</f>
      </c>
      <c r="C101" t="str">
        <f>B101/Keys!$C$2</f>
      </c>
    </row>
    <row r="102">
      <c r="A102" t="s">
        <v>372</v>
      </c>
      <c r="B102" t="str">
        <f>SUMIFS('6_Calc_ISIC_aggregation'!$E$3:$E$81, '6_Calc_ISIC_aggregation'!$B$3:$B$81, $A102)</f>
      </c>
      <c r="C102" t="str">
        <f>B102/Keys!$C$2</f>
      </c>
    </row>
    <row r="103">
      <c r="A103" t="s">
        <v>377</v>
      </c>
      <c r="B103" t="str">
        <f>SUMIFS('6_Calc_ISIC_aggregation'!$E$3:$E$81, '6_Calc_ISIC_aggregation'!$B$3:$B$81, $A103)</f>
      </c>
      <c r="C103" t="str">
        <f>B103/Keys!$C$2</f>
      </c>
    </row>
    <row r="104">
      <c r="A104" t="s">
        <v>380</v>
      </c>
      <c r="B104" t="str">
        <f>SUMIFS('6_Calc_ISIC_aggregation'!$E$3:$E$81, '6_Calc_ISIC_aggregation'!$B$3:$B$81, $A104)</f>
      </c>
      <c r="C104" t="str">
        <f>B104/Keys!$C$2</f>
      </c>
    </row>
    <row r="105">
      <c r="A105" t="s">
        <v>374</v>
      </c>
      <c r="B105" t="str">
        <f>SUMIFS('6_Calc_ISIC_aggregation'!$E$3:$E$81, '6_Calc_ISIC_aggregation'!$B$3:$B$81, $A105)</f>
      </c>
      <c r="C105" t="str">
        <f>B105/Keys!$C$2</f>
      </c>
    </row>
    <row r="106">
      <c r="A106" t="s">
        <v>383</v>
      </c>
      <c r="B106" t="str">
        <f>SUMIFS('6_Calc_ISIC_aggregation'!$E$3:$E$81, '6_Calc_ISIC_aggregation'!$B$3:$B$81, $A106)</f>
      </c>
      <c r="C106" t="str">
        <f>B106/Keys!$C$2</f>
      </c>
    </row>
    <row r="107">
      <c r="A107" t="s">
        <v>386</v>
      </c>
      <c r="B107" t="str">
        <f>SUMIFS('6_Calc_ISIC_aggregation'!$E$3:$E$81, '6_Calc_ISIC_aggregation'!$B$3:$B$81, $A107)</f>
      </c>
      <c r="C107" t="str">
        <f>B107/Keys!$C$2</f>
      </c>
    </row>
    <row r="108">
      <c r="A108" t="s">
        <v>389</v>
      </c>
      <c r="B108" t="str">
        <f>SUMIFS('6_Calc_ISIC_aggregation'!$E$3:$E$81, '6_Calc_ISIC_aggregation'!$B$3:$B$81, $A108)</f>
      </c>
      <c r="C108" t="str">
        <f>B108/Keys!$C$2</f>
      </c>
    </row>
    <row r="109">
      <c r="A109" t="s">
        <v>337</v>
      </c>
      <c r="B109" t="str">
        <f>SUMIFS('6_Calc_ISIC_aggregation'!$E$3:$E$81, '6_Calc_ISIC_aggregation'!$B$3:$B$81, $A109)</f>
      </c>
      <c r="C109" t="str">
        <f>B109/Keys!$C$2</f>
      </c>
    </row>
    <row r="110">
      <c r="A110" t="s">
        <v>340</v>
      </c>
      <c r="B110" t="str">
        <f>SUMIFS('6_Calc_ISIC_aggregation'!$E$3:$E$81, '6_Calc_ISIC_aggregation'!$B$3:$B$81, $A110)</f>
      </c>
      <c r="C110" t="str">
        <f>B110/Keys!$C$2</f>
      </c>
    </row>
    <row r="111">
      <c r="A111" t="s">
        <v>343</v>
      </c>
      <c r="B111" t="str">
        <f>SUMIFS('6_Calc_ISIC_aggregation'!$E$3:$E$81, '6_Calc_ISIC_aggregation'!$B$3:$B$81, $A111)</f>
      </c>
      <c r="C111" t="str">
        <f>B111/Keys!$C$2</f>
      </c>
    </row>
    <row r="112">
      <c r="A112" t="s">
        <v>347</v>
      </c>
      <c r="B112" t="str">
        <f>SUMIFS('6_Calc_ISIC_aggregation'!$E$3:$E$81, '6_Calc_ISIC_aggregation'!$B$3:$B$81, $A112)</f>
      </c>
      <c r="C112" t="str">
        <f>B112/Keys!$C$2</f>
      </c>
    </row>
    <row r="113">
      <c r="A113" t="s">
        <v>393</v>
      </c>
      <c r="B113" t="str">
        <f>SUMIFS('6_Calc_ISIC_aggregation'!$E$3:$E$81, '6_Calc_ISIC_aggregation'!$B$3:$B$81, $A113)</f>
      </c>
      <c r="C113" t="str">
        <f>B113/Keys!$C$2</f>
      </c>
    </row>
    <row r="114">
      <c r="A114" t="s">
        <v>400</v>
      </c>
      <c r="B114" t="str">
        <f>SUMIFS('6_Calc_ISIC_aggregation'!$E$3:$E$81, '6_Calc_ISIC_aggregation'!$B$3:$B$81, $A114)</f>
      </c>
      <c r="C114" t="str">
        <f>B114/Keys!$C$2</f>
      </c>
    </row>
    <row r="115">
      <c r="A115" t="s">
        <v>457</v>
      </c>
      <c r="B115" t="str">
        <f>SUMIFS('6_Calc_ISIC_aggregation'!$E$3:$E$81, '6_Calc_ISIC_aggregation'!$B$3:$B$81, $A115)</f>
      </c>
      <c r="C115" t="str">
        <f>B115/Keys!$C$2</f>
      </c>
    </row>
    <row r="116">
      <c r="A116" t="s">
        <v>412</v>
      </c>
      <c r="B116" t="str">
        <f>SUMIFS('6_Calc_ISIC_aggregation'!$E$3:$E$81, '6_Calc_ISIC_aggregation'!$B$3:$B$81, $A116)</f>
      </c>
      <c r="C116" t="str">
        <f>B116/Keys!$C$2</f>
      </c>
    </row>
    <row r="117">
      <c r="A117" t="s">
        <v>185</v>
      </c>
      <c r="B117" t="str">
        <f>SUMIFS('6_Calc_ISIC_aggregation'!$E$3:$E$81, '6_Calc_ISIC_aggregation'!$B$3:$B$81, $A117)</f>
      </c>
      <c r="C117" t="str">
        <f>B117/Keys!$C$2</f>
      </c>
    </row>
    <row r="118">
      <c r="A118" t="s">
        <v>419</v>
      </c>
      <c r="B118" t="str">
        <f>SUMIFS('6_Calc_ISIC_aggregation'!$E$3:$E$81, '6_Calc_ISIC_aggregation'!$B$3:$B$81, $A118)</f>
      </c>
      <c r="C118" t="str">
        <f>B118/Keys!$C$2</f>
      </c>
    </row>
    <row r="119">
      <c r="A119" t="s">
        <v>422</v>
      </c>
      <c r="B119" t="str">
        <f>SUMIFS('6_Calc_ISIC_aggregation'!$E$3:$E$81, '6_Calc_ISIC_aggregation'!$B$3:$B$81, $A119)</f>
      </c>
      <c r="C119" t="str">
        <f>B119/Keys!$C$2</f>
      </c>
    </row>
    <row r="120">
      <c r="A120" t="s">
        <v>428</v>
      </c>
      <c r="B120" t="str">
        <f>SUMIFS('6_Calc_ISIC_aggregation'!$E$3:$E$81, '6_Calc_ISIC_aggregation'!$B$3:$B$81, $A120)</f>
      </c>
      <c r="C120" t="str">
        <f>B120/Keys!$C$2</f>
      </c>
    </row>
    <row r="121">
      <c r="A121" t="s">
        <v>432</v>
      </c>
      <c r="B121" t="str">
        <f>SUMIFS('6_Calc_ISIC_aggregation'!$E$3:$E$81, '6_Calc_ISIC_aggregation'!$B$3:$B$81, $A121)</f>
      </c>
      <c r="C121" t="str">
        <f>B121/Keys!$C$2</f>
      </c>
    </row>
    <row r="122">
      <c r="A122" t="s">
        <v>462</v>
      </c>
      <c r="B122" t="str">
        <f>SUMIFS('6_Calc_ISIC_aggregation'!$E$3:$E$81, '6_Calc_ISIC_aggregation'!$B$3:$B$81, $A122)</f>
      </c>
      <c r="C122" t="str">
        <f>B122/Keys!$C$2</f>
      </c>
    </row>
    <row r="123">
      <c r="A123" t="s">
        <v>444</v>
      </c>
      <c r="B123" t="str">
        <f>SUMIFS('6_Calc_ISIC_aggregation'!$E$3:$E$81, '6_Calc_ISIC_aggregation'!$B$3:$B$81, $A123)</f>
      </c>
      <c r="C123" t="str">
        <f>B123/Keys!$C$2</f>
      </c>
    </row>
    <row r="124">
      <c r="A124" t="s">
        <v>447</v>
      </c>
      <c r="B124" t="str">
        <f>SUMIFS('6_Calc_ISIC_aggregation'!$E$3:$E$81, '6_Calc_ISIC_aggregation'!$B$3:$B$81, $A124)</f>
      </c>
      <c r="C124" t="str">
        <f>B124/Keys!$C$2</f>
      </c>
    </row>
    <row r="125">
      <c r="A125" t="s">
        <v>453</v>
      </c>
      <c r="B125" t="str">
        <f>SUMIFS('6_Calc_ISIC_aggregation'!$E$3:$E$81, '6_Calc_ISIC_aggregation'!$B$3:$B$81, $A125)</f>
      </c>
      <c r="C125" t="str">
        <f>B125/Keys!$C$2</f>
      </c>
    </row>
    <row r="126">
      <c r="A126" t="s">
        <v>570</v>
      </c>
      <c r="B126" t="str">
        <f>SUMIFS('6_Calc_ISIC_aggregation'!$E$3:$E$81, '6_Calc_ISIC_aggregation'!$B$3:$B$81,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579</v>
      </c>
      <c r="B1" t="s">
        <v>327</v>
      </c>
      <c r="C1" t="s">
        <v>469</v>
      </c>
      <c r="D1" t="s">
        <v>331</v>
      </c>
      <c r="E1" t="s">
        <v>472</v>
      </c>
      <c r="F1" t="s">
        <v>334</v>
      </c>
      <c r="G1" t="s">
        <v>349</v>
      </c>
      <c r="H1" t="s">
        <v>352</v>
      </c>
      <c r="I1" t="s">
        <v>356</v>
      </c>
      <c r="J1" t="s">
        <v>359</v>
      </c>
      <c r="K1" t="s">
        <v>363</v>
      </c>
      <c r="L1" t="s">
        <v>485</v>
      </c>
      <c r="M1" t="s">
        <v>488</v>
      </c>
      <c r="N1" t="s">
        <v>134</v>
      </c>
      <c r="O1" t="s">
        <v>475</v>
      </c>
      <c r="P1" t="s">
        <v>478</v>
      </c>
      <c r="Q1" t="s">
        <v>366</v>
      </c>
      <c r="R1" t="s">
        <v>482</v>
      </c>
      <c r="S1" t="s">
        <v>372</v>
      </c>
      <c r="T1" t="s">
        <v>377</v>
      </c>
      <c r="U1" t="s">
        <v>380</v>
      </c>
      <c r="V1" t="s">
        <v>374</v>
      </c>
      <c r="W1" t="s">
        <v>383</v>
      </c>
      <c r="X1" t="s">
        <v>386</v>
      </c>
      <c r="Y1" t="s">
        <v>389</v>
      </c>
      <c r="Z1" t="s">
        <v>337</v>
      </c>
      <c r="AA1" t="s">
        <v>340</v>
      </c>
      <c r="AB1" t="s">
        <v>343</v>
      </c>
      <c r="AC1" t="s">
        <v>347</v>
      </c>
      <c r="AD1" t="s">
        <v>393</v>
      </c>
      <c r="AE1" t="s">
        <v>400</v>
      </c>
      <c r="AF1" t="s">
        <v>457</v>
      </c>
      <c r="AG1" t="s">
        <v>412</v>
      </c>
      <c r="AH1" t="s">
        <v>185</v>
      </c>
      <c r="AI1" t="s">
        <v>419</v>
      </c>
      <c r="AJ1" t="s">
        <v>422</v>
      </c>
      <c r="AK1" t="s">
        <v>428</v>
      </c>
      <c r="AL1" t="s">
        <v>432</v>
      </c>
      <c r="AM1" t="s">
        <v>462</v>
      </c>
      <c r="AN1" t="s">
        <v>444</v>
      </c>
      <c r="AO1" t="s">
        <v>447</v>
      </c>
      <c r="AP1" t="s">
        <v>453</v>
      </c>
      <c r="AQ1" t="s">
        <v>570</v>
      </c>
    </row>
    <row r="2">
      <c r="A2" t="s">
        <v>580</v>
      </c>
      <c r="B2" t="str">
        <f>INDEX('6_Calc_ISIC_aggregation'!$C$85:$C$126, MATCH(B$1, '6_Calc_ISIC_aggregation'!$A$85:$A$126, 0))</f>
      </c>
      <c r="C2" t="str">
        <f>INDEX('6_Calc_ISIC_aggregation'!$C$85:$C$126, MATCH(C$1, '6_Calc_ISIC_aggregation'!$A$85:$A$126, 0))</f>
      </c>
      <c r="D2" t="str">
        <f>INDEX('6_Calc_ISIC_aggregation'!$C$85:$C$126, MATCH(D$1, '6_Calc_ISIC_aggregation'!$A$85:$A$126, 0))</f>
      </c>
      <c r="E2" t="str">
        <f>INDEX('6_Calc_ISIC_aggregation'!$C$85:$C$126, MATCH(E$1, '6_Calc_ISIC_aggregation'!$A$85:$A$126, 0))</f>
      </c>
      <c r="F2" t="str">
        <f>INDEX('6_Calc_ISIC_aggregation'!$C$85:$C$126, MATCH(F$1, '6_Calc_ISIC_aggregation'!$A$85:$A$126, 0))</f>
      </c>
      <c r="G2" t="str">
        <f>INDEX('6_Calc_ISIC_aggregation'!$C$85:$C$126, MATCH(G$1, '6_Calc_ISIC_aggregation'!$A$85:$A$126, 0))</f>
      </c>
      <c r="H2" t="str">
        <f>INDEX('6_Calc_ISIC_aggregation'!$C$85:$C$126, MATCH(H$1, '6_Calc_ISIC_aggregation'!$A$85:$A$126, 0))</f>
      </c>
      <c r="I2" t="str">
        <f>INDEX('6_Calc_ISIC_aggregation'!$C$85:$C$126, MATCH(I$1, '6_Calc_ISIC_aggregation'!$A$85:$A$126, 0))</f>
      </c>
      <c r="J2" t="str">
        <f>INDEX('6_Calc_ISIC_aggregation'!$C$85:$C$126, MATCH(J$1, '6_Calc_ISIC_aggregation'!$A$85:$A$126, 0))</f>
      </c>
      <c r="K2" t="str">
        <f>INDEX('6_Calc_ISIC_aggregation'!$C$85:$C$126, MATCH(K$1, '6_Calc_ISIC_aggregation'!$A$85:$A$126, 0))</f>
      </c>
      <c r="L2" t="str">
        <f>INDEX('6_Calc_ISIC_aggregation'!$C$85:$C$126, MATCH(L$1, '6_Calc_ISIC_aggregation'!$A$85:$A$126, 0))</f>
      </c>
      <c r="M2" t="str">
        <f>INDEX('6_Calc_ISIC_aggregation'!$C$85:$C$126, MATCH(M$1, '6_Calc_ISIC_aggregation'!$A$85:$A$126, 0))</f>
      </c>
      <c r="N2" t="str">
        <f>INDEX('6_Calc_ISIC_aggregation'!$C$85:$C$126, MATCH(N$1, '6_Calc_ISIC_aggregation'!$A$85:$A$126, 0))</f>
      </c>
      <c r="O2" t="str">
        <f>INDEX('6_Calc_ISIC_aggregation'!$C$85:$C$126, MATCH(O$1, '6_Calc_ISIC_aggregation'!$A$85:$A$126, 0))</f>
      </c>
      <c r="P2" t="str">
        <f>INDEX('6_Calc_ISIC_aggregation'!$C$85:$C$126, MATCH(P$1, '6_Calc_ISIC_aggregation'!$A$85:$A$126, 0))</f>
      </c>
      <c r="Q2" t="str">
        <f>INDEX('6_Calc_ISIC_aggregation'!$C$85:$C$126, MATCH(Q$1, '6_Calc_ISIC_aggregation'!$A$85:$A$126, 0))</f>
      </c>
      <c r="R2" t="str">
        <f>INDEX('6_Calc_ISIC_aggregation'!$C$85:$C$126, MATCH(R$1, '6_Calc_ISIC_aggregation'!$A$85:$A$126, 0))</f>
      </c>
      <c r="S2" t="str">
        <f>INDEX('6_Calc_ISIC_aggregation'!$C$85:$C$126, MATCH(S$1, '6_Calc_ISIC_aggregation'!$A$85:$A$126, 0))</f>
      </c>
      <c r="T2" t="str">
        <f>INDEX('6_Calc_ISIC_aggregation'!$C$85:$C$126, MATCH(T$1, '6_Calc_ISIC_aggregation'!$A$85:$A$126, 0))</f>
      </c>
      <c r="U2" t="str">
        <f>INDEX('6_Calc_ISIC_aggregation'!$C$85:$C$126, MATCH(U$1, '6_Calc_ISIC_aggregation'!$A$85:$A$126, 0))</f>
      </c>
      <c r="V2" t="str">
        <f>INDEX('6_Calc_ISIC_aggregation'!$C$85:$C$126, MATCH(V$1, '6_Calc_ISIC_aggregation'!$A$85:$A$126, 0))</f>
      </c>
      <c r="W2" t="str">
        <f>INDEX('6_Calc_ISIC_aggregation'!$C$85:$C$126, MATCH(W$1, '6_Calc_ISIC_aggregation'!$A$85:$A$126, 0))</f>
      </c>
      <c r="X2" t="str">
        <f>INDEX('6_Calc_ISIC_aggregation'!$C$85:$C$126, MATCH(X$1, '6_Calc_ISIC_aggregation'!$A$85:$A$126, 0))</f>
      </c>
      <c r="Y2" t="str">
        <f>INDEX('6_Calc_ISIC_aggregation'!$C$85:$C$126, MATCH(Y$1, '6_Calc_ISIC_aggregation'!$A$85:$A$126, 0))</f>
      </c>
      <c r="Z2" t="str">
        <f>INDEX('6_Calc_ISIC_aggregation'!$C$85:$C$126, MATCH(Z$1, '6_Calc_ISIC_aggregation'!$A$85:$A$126, 0))</f>
      </c>
      <c r="AA2" t="str">
        <f>INDEX('6_Calc_ISIC_aggregation'!$C$85:$C$126, MATCH(AA$1, '6_Calc_ISIC_aggregation'!$A$85:$A$126, 0))</f>
      </c>
      <c r="AB2" t="str">
        <f>INDEX('6_Calc_ISIC_aggregation'!$C$85:$C$126, MATCH(AB$1, '6_Calc_ISIC_aggregation'!$A$85:$A$126, 0))</f>
      </c>
      <c r="AC2" t="str">
        <f>INDEX('6_Calc_ISIC_aggregation'!$C$85:$C$126, MATCH(AC$1, '6_Calc_ISIC_aggregation'!$A$85:$A$126, 0))</f>
      </c>
      <c r="AD2" t="str">
        <f>INDEX('6_Calc_ISIC_aggregation'!$C$85:$C$126, MATCH(AD$1, '6_Calc_ISIC_aggregation'!$A$85:$A$126, 0))</f>
      </c>
      <c r="AE2" t="str">
        <f>INDEX('6_Calc_ISIC_aggregation'!$C$85:$C$126, MATCH(AE$1, '6_Calc_ISIC_aggregation'!$A$85:$A$126, 0))</f>
      </c>
      <c r="AF2" t="str">
        <f>INDEX('6_Calc_ISIC_aggregation'!$C$85:$C$126, MATCH(AF$1, '6_Calc_ISIC_aggregation'!$A$85:$A$126, 0))</f>
      </c>
      <c r="AG2" t="str">
        <f>INDEX('6_Calc_ISIC_aggregation'!$C$85:$C$126, MATCH(AG$1, '6_Calc_ISIC_aggregation'!$A$85:$A$126, 0))</f>
      </c>
      <c r="AH2" t="str">
        <f>INDEX('6_Calc_ISIC_aggregation'!$C$85:$C$126, MATCH(AH$1, '6_Calc_ISIC_aggregation'!$A$85:$A$126, 0))</f>
      </c>
      <c r="AI2" t="str">
        <f>INDEX('6_Calc_ISIC_aggregation'!$C$85:$C$126, MATCH(AI$1, '6_Calc_ISIC_aggregation'!$A$85:$A$126, 0))</f>
      </c>
      <c r="AJ2" t="str">
        <f>INDEX('6_Calc_ISIC_aggregation'!$C$85:$C$126, MATCH(AJ$1, '6_Calc_ISIC_aggregation'!$A$85:$A$126, 0))</f>
      </c>
      <c r="AK2" t="str">
        <f>INDEX('6_Calc_ISIC_aggregation'!$C$85:$C$126, MATCH(AK$1, '6_Calc_ISIC_aggregation'!$A$85:$A$126, 0))</f>
      </c>
      <c r="AL2" t="str">
        <f>INDEX('6_Calc_ISIC_aggregation'!$C$85:$C$126, MATCH(AL$1, '6_Calc_ISIC_aggregation'!$A$85:$A$126, 0))</f>
      </c>
      <c r="AM2" t="str">
        <f>INDEX('6_Calc_ISIC_aggregation'!$C$85:$C$126, MATCH(AM$1, '6_Calc_ISIC_aggregation'!$A$85:$A$126, 0))</f>
      </c>
      <c r="AN2" t="str">
        <f>INDEX('6_Calc_ISIC_aggregation'!$C$85:$C$126, MATCH(AN$1, '6_Calc_ISIC_aggregation'!$A$85:$A$126, 0))</f>
      </c>
      <c r="AO2" t="str">
        <f>INDEX('6_Calc_ISIC_aggregation'!$C$85:$C$126, MATCH(AO$1, '6_Calc_ISIC_aggregation'!$A$85:$A$126, 0))</f>
      </c>
      <c r="AP2" t="str">
        <f>INDEX('6_Calc_ISIC_aggregation'!$C$85:$C$126, MATCH(AP$1, '6_Calc_ISIC_aggregation'!$A$85:$A$126, 0))</f>
      </c>
      <c r="AQ2" t="str">
        <f>INDEX('6_Calc_ISIC_aggregation'!$C$85:$C$126, MATCH(AQ$1, '6_Calc_ISIC_aggregation'!$A$85:$A$126,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2026-07-17T19:27:42Z</dcterms:created>
</coreProperties>
</file>