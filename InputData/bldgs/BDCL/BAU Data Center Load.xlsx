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bldgs\BDCL\"/>
    </mc:Choice>
  </mc:AlternateContent>
  <xr:revisionPtr revIDLastSave="0" documentId="8_{AC677929-EFCE-4D53-A9B3-D5BA363A9D18}"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H167" i="10"/>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67" i="10"/>
  <c r="D167" i="10" s="1"/>
  <c r="E167" i="10" s="1"/>
  <c r="F167" i="10" s="1"/>
  <c r="G167" i="10" s="1"/>
  <c r="B167" i="10"/>
  <c r="AC166" i="10"/>
  <c r="E166" i="10"/>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C166" i="10" s="1"/>
  <c r="D166" i="10" s="1"/>
  <c r="AC165" i="10"/>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D159" i="10"/>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59" i="10"/>
  <c r="B159" i="10"/>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E156" i="10"/>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C156" i="10" s="1"/>
  <c r="D156" i="10" s="1"/>
  <c r="AC155" i="10"/>
  <c r="C155" i="10" s="1"/>
  <c r="D155" i="10" s="1"/>
  <c r="E155" i="10" s="1"/>
  <c r="F155" i="10" s="1"/>
  <c r="G155" i="10" s="1"/>
  <c r="H155" i="10" s="1"/>
  <c r="I155" i="10" s="1"/>
  <c r="J155" i="10" s="1"/>
  <c r="W155" i="10"/>
  <c r="X155" i="10" s="1"/>
  <c r="Y155" i="10" s="1"/>
  <c r="Z155" i="10" s="1"/>
  <c r="AA155" i="10" s="1"/>
  <c r="AB155" i="10" s="1"/>
  <c r="K155" i="10"/>
  <c r="L155" i="10" s="1"/>
  <c r="M155" i="10" s="1"/>
  <c r="N155" i="10" s="1"/>
  <c r="O155" i="10" s="1"/>
  <c r="P155" i="10" s="1"/>
  <c r="Q155" i="10" s="1"/>
  <c r="R155" i="10" s="1"/>
  <c r="S155" i="10" s="1"/>
  <c r="T155" i="10" s="1"/>
  <c r="U155" i="10" s="1"/>
  <c r="V155" i="10" s="1"/>
  <c r="B155" i="10"/>
  <c r="AC154" i="10"/>
  <c r="K154" i="10"/>
  <c r="L154" i="10" s="1"/>
  <c r="M154" i="10" s="1"/>
  <c r="N154" i="10" s="1"/>
  <c r="O154" i="10" s="1"/>
  <c r="P154" i="10" s="1"/>
  <c r="Q154" i="10" s="1"/>
  <c r="R154" i="10" s="1"/>
  <c r="S154" i="10" s="1"/>
  <c r="T154" i="10" s="1"/>
  <c r="U154" i="10" s="1"/>
  <c r="V154" i="10" s="1"/>
  <c r="W154" i="10" s="1"/>
  <c r="X154" i="10" s="1"/>
  <c r="Y154" i="10" s="1"/>
  <c r="Z154" i="10" s="1"/>
  <c r="AA154" i="10" s="1"/>
  <c r="AB154" i="10" s="1"/>
  <c r="C154" i="10"/>
  <c r="D154" i="10" s="1"/>
  <c r="E154" i="10" s="1"/>
  <c r="F154" i="10" s="1"/>
  <c r="G154" i="10" s="1"/>
  <c r="H154" i="10" s="1"/>
  <c r="I154" i="10" s="1"/>
  <c r="J154" i="10" s="1"/>
  <c r="B154" i="10"/>
  <c r="AC153" i="10"/>
  <c r="F153" i="10"/>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C153" i="10" s="1"/>
  <c r="D153" i="10" s="1"/>
  <c r="E153" i="10" s="1"/>
  <c r="AC152" i="10"/>
  <c r="E152" i="10"/>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C152" i="10" s="1"/>
  <c r="D152" i="10" s="1"/>
  <c r="AC151" i="10"/>
  <c r="C151" i="10" s="1"/>
  <c r="D151" i="10" s="1"/>
  <c r="E151" i="10" s="1"/>
  <c r="F151" i="10" s="1"/>
  <c r="G151" i="10" s="1"/>
  <c r="H151" i="10"/>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K150" i="10"/>
  <c r="L150" i="10" s="1"/>
  <c r="M150" i="10" s="1"/>
  <c r="N150" i="10" s="1"/>
  <c r="O150" i="10" s="1"/>
  <c r="P150" i="10" s="1"/>
  <c r="Q150" i="10" s="1"/>
  <c r="R150" i="10" s="1"/>
  <c r="S150" i="10" s="1"/>
  <c r="T150" i="10" s="1"/>
  <c r="U150" i="10" s="1"/>
  <c r="V150" i="10" s="1"/>
  <c r="W150" i="10" s="1"/>
  <c r="X150" i="10" s="1"/>
  <c r="Y150" i="10" s="1"/>
  <c r="Z150" i="10" s="1"/>
  <c r="AA150" i="10" s="1"/>
  <c r="AB150" i="10" s="1"/>
  <c r="C150" i="10"/>
  <c r="D150" i="10" s="1"/>
  <c r="E150" i="10" s="1"/>
  <c r="F150" i="10" s="1"/>
  <c r="G150" i="10" s="1"/>
  <c r="H150" i="10" s="1"/>
  <c r="I150" i="10" s="1"/>
  <c r="J150" i="10" s="1"/>
  <c r="B150" i="10"/>
  <c r="AC149" i="10"/>
  <c r="E149" i="10"/>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D149" i="10"/>
  <c r="C149" i="10"/>
  <c r="B149" i="10"/>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C146" i="10" s="1"/>
  <c r="D146" i="10" s="1"/>
  <c r="E146" i="10" s="1"/>
  <c r="F146" i="10" s="1"/>
  <c r="G146" i="10" s="1"/>
  <c r="H146" i="10" s="1"/>
  <c r="I146" i="10" s="1"/>
  <c r="J146" i="10" s="1"/>
  <c r="K146" i="10" s="1"/>
  <c r="L146" i="10" s="1"/>
  <c r="M146" i="10" s="1"/>
  <c r="N146" i="10" s="1"/>
  <c r="O146" i="10" s="1"/>
  <c r="P146" i="10" s="1"/>
  <c r="Q146" i="10" s="1"/>
  <c r="Z146" i="10"/>
  <c r="AA146" i="10" s="1"/>
  <c r="AB146" i="10" s="1"/>
  <c r="V146" i="10"/>
  <c r="W146" i="10" s="1"/>
  <c r="X146" i="10" s="1"/>
  <c r="Y146" i="10" s="1"/>
  <c r="R146" i="10"/>
  <c r="S146" i="10" s="1"/>
  <c r="T146" i="10" s="1"/>
  <c r="U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B144" i="10"/>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c r="X142" i="10" s="1"/>
  <c r="Y142" i="10" s="1"/>
  <c r="Z142" i="10" s="1"/>
  <c r="AA142" i="10" s="1"/>
  <c r="AB142" i="10" s="1"/>
  <c r="B142" i="10"/>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C140" i="10" s="1"/>
  <c r="D140" i="10" s="1"/>
  <c r="E140" i="10" s="1"/>
  <c r="F140" i="10" s="1"/>
  <c r="G140" i="10" s="1"/>
  <c r="H140" i="10" s="1"/>
  <c r="I140" i="10" s="1"/>
  <c r="J140" i="10"/>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I139" i="10"/>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C139" i="10" s="1"/>
  <c r="D139" i="10" s="1"/>
  <c r="E139" i="10" s="1"/>
  <c r="F139" i="10" s="1"/>
  <c r="G139" i="10" s="1"/>
  <c r="H139" i="10" s="1"/>
  <c r="AC138" i="10"/>
  <c r="J138" i="10"/>
  <c r="K138" i="10" s="1"/>
  <c r="L138" i="10" s="1"/>
  <c r="M138" i="10" s="1"/>
  <c r="N138" i="10" s="1"/>
  <c r="O138" i="10" s="1"/>
  <c r="P138" i="10" s="1"/>
  <c r="Q138" i="10" s="1"/>
  <c r="R138" i="10" s="1"/>
  <c r="S138" i="10" s="1"/>
  <c r="T138" i="10" s="1"/>
  <c r="U138" i="10" s="1"/>
  <c r="V138" i="10" s="1"/>
  <c r="W138" i="10" s="1"/>
  <c r="X138" i="10" s="1"/>
  <c r="Y138" i="10" s="1"/>
  <c r="Z138" i="10" s="1"/>
  <c r="AA138" i="10" s="1"/>
  <c r="AB138" i="10" s="1"/>
  <c r="F138" i="10"/>
  <c r="G138" i="10" s="1"/>
  <c r="H138" i="10" s="1"/>
  <c r="I138" i="10" s="1"/>
  <c r="E138" i="10"/>
  <c r="B138" i="10"/>
  <c r="C138" i="10" s="1"/>
  <c r="D138" i="10" s="1"/>
  <c r="AC137" i="10"/>
  <c r="C137" i="10" s="1"/>
  <c r="D137" i="10" s="1"/>
  <c r="E137" i="10" s="1"/>
  <c r="F137" i="10" s="1"/>
  <c r="G137" i="10" s="1"/>
  <c r="H137" i="10" s="1"/>
  <c r="I137" i="10" s="1"/>
  <c r="J137" i="10" s="1"/>
  <c r="K137" i="10" s="1"/>
  <c r="L137" i="10" s="1"/>
  <c r="O137" i="10"/>
  <c r="P137" i="10" s="1"/>
  <c r="Q137" i="10" s="1"/>
  <c r="R137" i="10" s="1"/>
  <c r="S137" i="10" s="1"/>
  <c r="T137" i="10" s="1"/>
  <c r="U137" i="10" s="1"/>
  <c r="V137" i="10" s="1"/>
  <c r="W137" i="10" s="1"/>
  <c r="X137" i="10" s="1"/>
  <c r="Y137" i="10" s="1"/>
  <c r="Z137" i="10" s="1"/>
  <c r="AA137" i="10" s="1"/>
  <c r="AB137" i="10" s="1"/>
  <c r="M137" i="10"/>
  <c r="N137" i="10" s="1"/>
  <c r="B137" i="10"/>
  <c r="AC136" i="10"/>
  <c r="B136" i="10"/>
  <c r="AC135" i="10"/>
  <c r="D135" i="10"/>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35" i="10"/>
  <c r="B135" i="10"/>
  <c r="AC134" i="10"/>
  <c r="B134" i="10"/>
  <c r="AC133" i="10"/>
  <c r="C133" i="10" s="1"/>
  <c r="D133" i="10" s="1"/>
  <c r="E133" i="10" s="1"/>
  <c r="F133" i="10" s="1"/>
  <c r="G133" i="10" s="1"/>
  <c r="H133" i="10" s="1"/>
  <c r="I133" i="10" s="1"/>
  <c r="J133" i="10"/>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B132" i="10"/>
  <c r="AC131" i="10"/>
  <c r="R131" i="10"/>
  <c r="S131" i="10" s="1"/>
  <c r="T131" i="10" s="1"/>
  <c r="U131" i="10" s="1"/>
  <c r="V131" i="10" s="1"/>
  <c r="W131" i="10" s="1"/>
  <c r="X131" i="10" s="1"/>
  <c r="Y131" i="10" s="1"/>
  <c r="Z131" i="10" s="1"/>
  <c r="AA131" i="10" s="1"/>
  <c r="AB131" i="10" s="1"/>
  <c r="Q131" i="10"/>
  <c r="M131" i="10"/>
  <c r="N131" i="10" s="1"/>
  <c r="O131" i="10" s="1"/>
  <c r="P131" i="10" s="1"/>
  <c r="B131" i="10"/>
  <c r="C131" i="10" s="1"/>
  <c r="D131" i="10" s="1"/>
  <c r="E131" i="10" s="1"/>
  <c r="F131" i="10" s="1"/>
  <c r="G131" i="10" s="1"/>
  <c r="H131" i="10" s="1"/>
  <c r="I131" i="10" s="1"/>
  <c r="J131" i="10" s="1"/>
  <c r="K131" i="10" s="1"/>
  <c r="L131" i="10" s="1"/>
  <c r="AC130" i="10"/>
  <c r="F130" i="10"/>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C130" i="10" s="1"/>
  <c r="D130" i="10" s="1"/>
  <c r="E130" i="10" s="1"/>
  <c r="AC129" i="10"/>
  <c r="C129" i="10" s="1"/>
  <c r="D129" i="10" s="1"/>
  <c r="E129" i="10" s="1"/>
  <c r="F129" i="10" s="1"/>
  <c r="G129" i="10"/>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Y128" i="10"/>
  <c r="Z128" i="10" s="1"/>
  <c r="AA128" i="10" s="1"/>
  <c r="AB128" i="10" s="1"/>
  <c r="P128" i="10"/>
  <c r="Q128" i="10" s="1"/>
  <c r="R128" i="10" s="1"/>
  <c r="S128" i="10" s="1"/>
  <c r="T128" i="10" s="1"/>
  <c r="U128" i="10" s="1"/>
  <c r="V128" i="10" s="1"/>
  <c r="W128" i="10" s="1"/>
  <c r="X128" i="10" s="1"/>
  <c r="B128" i="10"/>
  <c r="C128" i="10" s="1"/>
  <c r="D128" i="10" s="1"/>
  <c r="E128" i="10" s="1"/>
  <c r="F128" i="10" s="1"/>
  <c r="G128" i="10" s="1"/>
  <c r="H128" i="10" s="1"/>
  <c r="I128" i="10" s="1"/>
  <c r="J128" i="10" s="1"/>
  <c r="K128" i="10" s="1"/>
  <c r="L128" i="10" s="1"/>
  <c r="M128" i="10" s="1"/>
  <c r="N128" i="10" s="1"/>
  <c r="O128" i="10" s="1"/>
  <c r="AC127" i="10"/>
  <c r="C127" i="10" s="1"/>
  <c r="D127" i="10" s="1"/>
  <c r="E127" i="10" s="1"/>
  <c r="F127" i="10" s="1"/>
  <c r="G127" i="10" s="1"/>
  <c r="H127" i="10" s="1"/>
  <c r="I127" i="10" s="1"/>
  <c r="J127" i="10" s="1"/>
  <c r="K127" i="10" s="1"/>
  <c r="L127" i="10" s="1"/>
  <c r="M127" i="10" s="1"/>
  <c r="N127" i="10" s="1"/>
  <c r="O127" i="10" s="1"/>
  <c r="P127" i="10" s="1"/>
  <c r="Q127" i="10"/>
  <c r="R127" i="10" s="1"/>
  <c r="S127" i="10" s="1"/>
  <c r="T127" i="10" s="1"/>
  <c r="U127" i="10" s="1"/>
  <c r="V127" i="10" s="1"/>
  <c r="W127" i="10" s="1"/>
  <c r="X127" i="10" s="1"/>
  <c r="Y127" i="10" s="1"/>
  <c r="Z127" i="10" s="1"/>
  <c r="AA127" i="10" s="1"/>
  <c r="AB127" i="10" s="1"/>
  <c r="B127" i="10"/>
  <c r="AC126" i="10"/>
  <c r="B126" i="10"/>
  <c r="AC125" i="10"/>
  <c r="M125" i="10"/>
  <c r="N125" i="10" s="1"/>
  <c r="O125" i="10" s="1"/>
  <c r="P125" i="10" s="1"/>
  <c r="Q125" i="10" s="1"/>
  <c r="R125" i="10" s="1"/>
  <c r="S125" i="10" s="1"/>
  <c r="T125" i="10" s="1"/>
  <c r="U125" i="10" s="1"/>
  <c r="V125" i="10" s="1"/>
  <c r="W125" i="10" s="1"/>
  <c r="X125" i="10" s="1"/>
  <c r="Y125" i="10" s="1"/>
  <c r="Z125" i="10" s="1"/>
  <c r="AA125" i="10" s="1"/>
  <c r="AB125" i="10" s="1"/>
  <c r="I125" i="10"/>
  <c r="J125" i="10" s="1"/>
  <c r="K125" i="10" s="1"/>
  <c r="L125" i="10" s="1"/>
  <c r="E125" i="10"/>
  <c r="F125" i="10" s="1"/>
  <c r="G125" i="10" s="1"/>
  <c r="H125" i="10" s="1"/>
  <c r="B125" i="10"/>
  <c r="C125" i="10" s="1"/>
  <c r="D125" i="10" s="1"/>
  <c r="AC124" i="10"/>
  <c r="B124" i="10"/>
  <c r="AC123" i="10"/>
  <c r="D123" i="10"/>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23" i="10"/>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B121" i="10"/>
  <c r="AC120" i="10"/>
  <c r="B120" i="10"/>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F117" i="10"/>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D117" i="10"/>
  <c r="E117" i="10" s="1"/>
  <c r="B117" i="10"/>
  <c r="C117" i="10" s="1"/>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C115" i="10" s="1"/>
  <c r="D115" i="10"/>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B114" i="10"/>
  <c r="AC113" i="10"/>
  <c r="C113" i="10"/>
  <c r="B113" i="10"/>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s="1"/>
  <c r="D105" i="10" s="1"/>
  <c r="E105" i="10" s="1"/>
  <c r="F105" i="10" s="1"/>
  <c r="G105" i="10" s="1"/>
  <c r="H105" i="10" s="1"/>
  <c r="I105" i="10" s="1"/>
  <c r="J105" i="10"/>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s="1"/>
  <c r="D104" i="10" s="1"/>
  <c r="E104" i="10"/>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O103" i="10"/>
  <c r="P103" i="10" s="1"/>
  <c r="Q103" i="10" s="1"/>
  <c r="R103" i="10" s="1"/>
  <c r="S103" i="10" s="1"/>
  <c r="T103" i="10" s="1"/>
  <c r="U103" i="10" s="1"/>
  <c r="V103" i="10" s="1"/>
  <c r="W103" i="10" s="1"/>
  <c r="X103" i="10" s="1"/>
  <c r="Y103" i="10" s="1"/>
  <c r="Z103" i="10" s="1"/>
  <c r="AA103" i="10" s="1"/>
  <c r="AB103" i="10" s="1"/>
  <c r="N103" i="10"/>
  <c r="L103" i="10"/>
  <c r="M103" i="10" s="1"/>
  <c r="B103" i="10"/>
  <c r="C103" i="10" s="1"/>
  <c r="D103" i="10" s="1"/>
  <c r="E103" i="10" s="1"/>
  <c r="F103" i="10" s="1"/>
  <c r="G103" i="10" s="1"/>
  <c r="H103" i="10" s="1"/>
  <c r="I103" i="10" s="1"/>
  <c r="J103" i="10" s="1"/>
  <c r="K103" i="10" s="1"/>
  <c r="AC102" i="10"/>
  <c r="V102" i="10"/>
  <c r="W102" i="10" s="1"/>
  <c r="X102" i="10" s="1"/>
  <c r="Y102" i="10" s="1"/>
  <c r="Z102" i="10" s="1"/>
  <c r="AA102" i="10" s="1"/>
  <c r="AB102" i="10" s="1"/>
  <c r="I102" i="10"/>
  <c r="J102" i="10" s="1"/>
  <c r="K102" i="10" s="1"/>
  <c r="L102" i="10" s="1"/>
  <c r="M102" i="10" s="1"/>
  <c r="N102" i="10" s="1"/>
  <c r="O102" i="10" s="1"/>
  <c r="P102" i="10" s="1"/>
  <c r="Q102" i="10" s="1"/>
  <c r="R102" i="10" s="1"/>
  <c r="S102" i="10" s="1"/>
  <c r="T102" i="10" s="1"/>
  <c r="U102" i="10" s="1"/>
  <c r="E102" i="10"/>
  <c r="F102" i="10" s="1"/>
  <c r="G102" i="10" s="1"/>
  <c r="H102" i="10" s="1"/>
  <c r="D102" i="10"/>
  <c r="B102" i="10"/>
  <c r="C102" i="10" s="1"/>
  <c r="AC101" i="10"/>
  <c r="C101" i="10" s="1"/>
  <c r="D101" i="10" s="1"/>
  <c r="E101" i="10" s="1"/>
  <c r="F101" i="10" s="1"/>
  <c r="G101" i="10" s="1"/>
  <c r="H101" i="10" s="1"/>
  <c r="I101" i="10" s="1"/>
  <c r="J101" i="10" s="1"/>
  <c r="K101" i="10" s="1"/>
  <c r="L101" i="10" s="1"/>
  <c r="M101" i="10" s="1"/>
  <c r="N101" i="10" s="1"/>
  <c r="O101" i="10"/>
  <c r="P101" i="10" s="1"/>
  <c r="Q101" i="10" s="1"/>
  <c r="R101" i="10" s="1"/>
  <c r="S101" i="10" s="1"/>
  <c r="T101" i="10" s="1"/>
  <c r="U101" i="10" s="1"/>
  <c r="V101" i="10" s="1"/>
  <c r="W101" i="10" s="1"/>
  <c r="X101" i="10" s="1"/>
  <c r="Y101" i="10" s="1"/>
  <c r="Z101" i="10" s="1"/>
  <c r="AA101" i="10" s="1"/>
  <c r="AB101" i="10" s="1"/>
  <c r="B101" i="10"/>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N99" i="10"/>
  <c r="O99" i="10" s="1"/>
  <c r="P99" i="10" s="1"/>
  <c r="Q99" i="10" s="1"/>
  <c r="R99" i="10" s="1"/>
  <c r="S99" i="10" s="1"/>
  <c r="T99" i="10" s="1"/>
  <c r="U99" i="10" s="1"/>
  <c r="V99" i="10" s="1"/>
  <c r="W99" i="10" s="1"/>
  <c r="X99" i="10" s="1"/>
  <c r="Y99" i="10" s="1"/>
  <c r="Z99" i="10" s="1"/>
  <c r="AA99" i="10" s="1"/>
  <c r="AB99" i="10" s="1"/>
  <c r="D99" i="10"/>
  <c r="E99" i="10" s="1"/>
  <c r="F99" i="10" s="1"/>
  <c r="G99" i="10" s="1"/>
  <c r="H99" i="10" s="1"/>
  <c r="I99" i="10" s="1"/>
  <c r="J99" i="10" s="1"/>
  <c r="K99" i="10" s="1"/>
  <c r="L99" i="10" s="1"/>
  <c r="M99" i="10" s="1"/>
  <c r="C99" i="10"/>
  <c r="B99" i="10"/>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C97" i="10" s="1"/>
  <c r="D97" i="10"/>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C96" i="10" s="1"/>
  <c r="D96" i="10" s="1"/>
  <c r="E96" i="10" s="1"/>
  <c r="F96" i="10" s="1"/>
  <c r="G96" i="10" s="1"/>
  <c r="X96" i="10"/>
  <c r="Y96" i="10" s="1"/>
  <c r="Z96" i="10" s="1"/>
  <c r="AA96" i="10" s="1"/>
  <c r="AB96" i="10" s="1"/>
  <c r="P96" i="10"/>
  <c r="Q96" i="10" s="1"/>
  <c r="R96" i="10" s="1"/>
  <c r="S96" i="10" s="1"/>
  <c r="T96" i="10" s="1"/>
  <c r="U96" i="10" s="1"/>
  <c r="V96" i="10" s="1"/>
  <c r="W96" i="10" s="1"/>
  <c r="I96" i="10"/>
  <c r="J96" i="10" s="1"/>
  <c r="K96" i="10" s="1"/>
  <c r="L96" i="10" s="1"/>
  <c r="M96" i="10" s="1"/>
  <c r="N96" i="10" s="1"/>
  <c r="O96" i="10" s="1"/>
  <c r="H96" i="10"/>
  <c r="B96" i="10"/>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G94" i="10"/>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F94" i="10"/>
  <c r="B94" i="10"/>
  <c r="C94" i="10" s="1"/>
  <c r="D94" i="10" s="1"/>
  <c r="E94" i="10" s="1"/>
  <c r="AC93" i="10"/>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AC90" i="10"/>
  <c r="L90" i="10"/>
  <c r="M90" i="10" s="1"/>
  <c r="N90" i="10" s="1"/>
  <c r="O90" i="10" s="1"/>
  <c r="P90" i="10" s="1"/>
  <c r="Q90" i="10" s="1"/>
  <c r="R90" i="10" s="1"/>
  <c r="S90" i="10" s="1"/>
  <c r="T90" i="10" s="1"/>
  <c r="U90" i="10" s="1"/>
  <c r="V90" i="10" s="1"/>
  <c r="W90" i="10" s="1"/>
  <c r="X90" i="10" s="1"/>
  <c r="Y90" i="10" s="1"/>
  <c r="Z90" i="10" s="1"/>
  <c r="AA90" i="10" s="1"/>
  <c r="AB90" i="10" s="1"/>
  <c r="C90" i="10"/>
  <c r="D90" i="10" s="1"/>
  <c r="E90" i="10" s="1"/>
  <c r="F90" i="10" s="1"/>
  <c r="G90" i="10" s="1"/>
  <c r="H90" i="10" s="1"/>
  <c r="I90" i="10" s="1"/>
  <c r="J90" i="10" s="1"/>
  <c r="K90" i="10" s="1"/>
  <c r="B90" i="10"/>
  <c r="AC89" i="10"/>
  <c r="C89" i="10" s="1"/>
  <c r="D89" i="10" s="1"/>
  <c r="E89" i="10" s="1"/>
  <c r="F89" i="10" s="1"/>
  <c r="G89" i="10" s="1"/>
  <c r="H89" i="10" s="1"/>
  <c r="I89" i="10"/>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N87" i="10"/>
  <c r="O87" i="10" s="1"/>
  <c r="P87" i="10" s="1"/>
  <c r="Q87" i="10" s="1"/>
  <c r="R87" i="10" s="1"/>
  <c r="S87" i="10" s="1"/>
  <c r="T87" i="10" s="1"/>
  <c r="U87" i="10" s="1"/>
  <c r="V87" i="10" s="1"/>
  <c r="W87" i="10" s="1"/>
  <c r="X87" i="10" s="1"/>
  <c r="Y87" i="10" s="1"/>
  <c r="Z87" i="10" s="1"/>
  <c r="AA87" i="10" s="1"/>
  <c r="AB87" i="10" s="1"/>
  <c r="J87" i="10"/>
  <c r="K87" i="10" s="1"/>
  <c r="L87" i="10" s="1"/>
  <c r="M87" i="10" s="1"/>
  <c r="C87" i="10"/>
  <c r="D87" i="10" s="1"/>
  <c r="E87" i="10" s="1"/>
  <c r="F87" i="10" s="1"/>
  <c r="G87" i="10" s="1"/>
  <c r="H87" i="10" s="1"/>
  <c r="I87" i="10" s="1"/>
  <c r="B87" i="10"/>
  <c r="AC86" i="10"/>
  <c r="R86" i="10"/>
  <c r="S86" i="10" s="1"/>
  <c r="T86" i="10" s="1"/>
  <c r="U86" i="10" s="1"/>
  <c r="V86" i="10" s="1"/>
  <c r="W86" i="10" s="1"/>
  <c r="X86" i="10" s="1"/>
  <c r="Y86" i="10" s="1"/>
  <c r="Z86" i="10" s="1"/>
  <c r="AA86" i="10" s="1"/>
  <c r="AB86" i="10" s="1"/>
  <c r="B86" i="10"/>
  <c r="C86" i="10" s="1"/>
  <c r="D86" i="10" s="1"/>
  <c r="E86" i="10" s="1"/>
  <c r="F86" i="10" s="1"/>
  <c r="G86" i="10" s="1"/>
  <c r="H86" i="10" s="1"/>
  <c r="I86" i="10" s="1"/>
  <c r="J86" i="10" s="1"/>
  <c r="K86" i="10" s="1"/>
  <c r="L86" i="10" s="1"/>
  <c r="M86" i="10" s="1"/>
  <c r="N86" i="10" s="1"/>
  <c r="O86" i="10" s="1"/>
  <c r="P86" i="10" s="1"/>
  <c r="Q86" i="10" s="1"/>
  <c r="AC85" i="10"/>
  <c r="C85" i="10" s="1"/>
  <c r="D85" i="10" s="1"/>
  <c r="E85" i="10" s="1"/>
  <c r="F85" i="10"/>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C83" i="10" s="1"/>
  <c r="D83" i="10"/>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C82" i="10" s="1"/>
  <c r="D82" i="10"/>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D81" i="10"/>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81" i="10"/>
  <c r="B81" i="10"/>
  <c r="AC80" i="10"/>
  <c r="D80" i="10"/>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80" i="10"/>
  <c r="B80" i="10"/>
  <c r="AC79" i="10"/>
  <c r="J79" i="10"/>
  <c r="K79" i="10" s="1"/>
  <c r="L79" i="10" s="1"/>
  <c r="M79" i="10" s="1"/>
  <c r="N79" i="10" s="1"/>
  <c r="O79" i="10" s="1"/>
  <c r="P79" i="10" s="1"/>
  <c r="Q79" i="10" s="1"/>
  <c r="R79" i="10" s="1"/>
  <c r="S79" i="10" s="1"/>
  <c r="T79" i="10" s="1"/>
  <c r="U79" i="10" s="1"/>
  <c r="V79" i="10" s="1"/>
  <c r="W79" i="10" s="1"/>
  <c r="X79" i="10" s="1"/>
  <c r="Y79" i="10" s="1"/>
  <c r="Z79" i="10" s="1"/>
  <c r="AA79" i="10" s="1"/>
  <c r="AB79" i="10" s="1"/>
  <c r="I79" i="10"/>
  <c r="D79" i="10"/>
  <c r="E79" i="10" s="1"/>
  <c r="F79" i="10" s="1"/>
  <c r="G79" i="10" s="1"/>
  <c r="H79" i="10" s="1"/>
  <c r="C79" i="10"/>
  <c r="B79" i="10"/>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G77" i="10"/>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E77" i="10"/>
  <c r="F77" i="10" s="1"/>
  <c r="D77" i="10"/>
  <c r="C77" i="10"/>
  <c r="B77" i="10"/>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C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c r="W74" i="10" s="1"/>
  <c r="X74" i="10" s="1"/>
  <c r="Y74" i="10" s="1"/>
  <c r="Z74" i="10" s="1"/>
  <c r="AA74" i="10" s="1"/>
  <c r="AB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I71" i="10"/>
  <c r="J71" i="10" s="1"/>
  <c r="K71" i="10" s="1"/>
  <c r="L71" i="10" s="1"/>
  <c r="M71" i="10" s="1"/>
  <c r="N71" i="10" s="1"/>
  <c r="O71" i="10" s="1"/>
  <c r="P71" i="10" s="1"/>
  <c r="Q71" i="10" s="1"/>
  <c r="R71" i="10" s="1"/>
  <c r="S71" i="10" s="1"/>
  <c r="T71" i="10" s="1"/>
  <c r="U71" i="10" s="1"/>
  <c r="V71" i="10" s="1"/>
  <c r="W71" i="10" s="1"/>
  <c r="X71" i="10" s="1"/>
  <c r="Y71" i="10" s="1"/>
  <c r="Z71" i="10" s="1"/>
  <c r="AA71" i="10" s="1"/>
  <c r="AB71" i="10" s="1"/>
  <c r="H71" i="10"/>
  <c r="E71" i="10"/>
  <c r="F71" i="10" s="1"/>
  <c r="G71" i="10" s="1"/>
  <c r="D71" i="10"/>
  <c r="C71" i="10"/>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AC68" i="10"/>
  <c r="L68" i="10"/>
  <c r="M68" i="10" s="1"/>
  <c r="N68" i="10" s="1"/>
  <c r="O68" i="10" s="1"/>
  <c r="P68" i="10" s="1"/>
  <c r="Q68" i="10" s="1"/>
  <c r="R68" i="10" s="1"/>
  <c r="S68" i="10" s="1"/>
  <c r="T68" i="10" s="1"/>
  <c r="U68" i="10" s="1"/>
  <c r="V68" i="10" s="1"/>
  <c r="W68" i="10" s="1"/>
  <c r="X68" i="10" s="1"/>
  <c r="Y68" i="10" s="1"/>
  <c r="Z68" i="10" s="1"/>
  <c r="AA68" i="10" s="1"/>
  <c r="AB68" i="10" s="1"/>
  <c r="F68" i="10"/>
  <c r="G68" i="10" s="1"/>
  <c r="H68" i="10" s="1"/>
  <c r="I68" i="10" s="1"/>
  <c r="J68" i="10" s="1"/>
  <c r="K68" i="10" s="1"/>
  <c r="E68" i="10"/>
  <c r="C68" i="10"/>
  <c r="D68" i="10" s="1"/>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B66" i="10"/>
  <c r="AC65" i="10"/>
  <c r="B65" i="10"/>
  <c r="AC64"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C62" i="10"/>
  <c r="B62" i="10"/>
  <c r="AC61" i="10"/>
  <c r="E61" i="10"/>
  <c r="F61" i="10" s="1"/>
  <c r="D61" i="10"/>
  <c r="B61" i="10"/>
  <c r="C61" i="10" s="1"/>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E54" i="10"/>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D54" i="10"/>
  <c r="C54" i="10"/>
  <c r="AC53" i="10"/>
  <c r="B53" i="10"/>
  <c r="AC52" i="10"/>
  <c r="B52" i="10"/>
  <c r="AC51" i="10"/>
  <c r="C51" i="10" s="1"/>
  <c r="E51" i="10"/>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D51" i="10"/>
  <c r="B51" i="10"/>
  <c r="AC50" i="10"/>
  <c r="C50" i="10" s="1"/>
  <c r="P50" i="10"/>
  <c r="Q50" i="10" s="1"/>
  <c r="R50" i="10" s="1"/>
  <c r="S50" i="10" s="1"/>
  <c r="T50" i="10" s="1"/>
  <c r="U50" i="10" s="1"/>
  <c r="V50" i="10" s="1"/>
  <c r="W50" i="10" s="1"/>
  <c r="X50" i="10" s="1"/>
  <c r="Y50" i="10" s="1"/>
  <c r="Z50" i="10" s="1"/>
  <c r="AA50" i="10" s="1"/>
  <c r="AB50" i="10" s="1"/>
  <c r="D50" i="10"/>
  <c r="E50" i="10" s="1"/>
  <c r="F50" i="10" s="1"/>
  <c r="G50" i="10" s="1"/>
  <c r="H50" i="10" s="1"/>
  <c r="I50" i="10" s="1"/>
  <c r="J50" i="10" s="1"/>
  <c r="K50" i="10" s="1"/>
  <c r="L50" i="10" s="1"/>
  <c r="M50" i="10" s="1"/>
  <c r="N50" i="10" s="1"/>
  <c r="O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S48" i="10"/>
  <c r="T48" i="10" s="1"/>
  <c r="U48" i="10" s="1"/>
  <c r="V48" i="10" s="1"/>
  <c r="W48" i="10" s="1"/>
  <c r="X48" i="10" s="1"/>
  <c r="Y48" i="10" s="1"/>
  <c r="Z48" i="10" s="1"/>
  <c r="AA48" i="10" s="1"/>
  <c r="AB48" i="10" s="1"/>
  <c r="C48" i="10"/>
  <c r="D48" i="10" s="1"/>
  <c r="E48" i="10" s="1"/>
  <c r="F48" i="10" s="1"/>
  <c r="G48" i="10" s="1"/>
  <c r="H48" i="10" s="1"/>
  <c r="I48" i="10" s="1"/>
  <c r="J48" i="10" s="1"/>
  <c r="K48" i="10" s="1"/>
  <c r="L48" i="10" s="1"/>
  <c r="M48" i="10" s="1"/>
  <c r="N48" i="10" s="1"/>
  <c r="O48" i="10" s="1"/>
  <c r="P48" i="10" s="1"/>
  <c r="Q48" i="10" s="1"/>
  <c r="R48" i="10" s="1"/>
  <c r="B48" i="10"/>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C46" i="10" s="1"/>
  <c r="D46" i="10"/>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C44" i="10" s="1"/>
  <c r="D44" i="10" s="1"/>
  <c r="E44" i="10" s="1"/>
  <c r="F44" i="10" s="1"/>
  <c r="G44" i="10" s="1"/>
  <c r="H44" i="10" s="1"/>
  <c r="I44" i="10" s="1"/>
  <c r="J44" i="10" s="1"/>
  <c r="K44" i="10" s="1"/>
  <c r="L44" i="10" s="1"/>
  <c r="M44" i="10" s="1"/>
  <c r="N44" i="10" s="1"/>
  <c r="O44" i="10" s="1"/>
  <c r="P44" i="10" s="1"/>
  <c r="Q44" i="10" s="1"/>
  <c r="R44" i="10" s="1"/>
  <c r="S44" i="10" s="1"/>
  <c r="T44" i="10" s="1"/>
  <c r="U44" i="10"/>
  <c r="V44" i="10" s="1"/>
  <c r="W44" i="10" s="1"/>
  <c r="X44" i="10" s="1"/>
  <c r="Y44" i="10" s="1"/>
  <c r="Z44" i="10" s="1"/>
  <c r="AA44" i="10" s="1"/>
  <c r="AB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G40" i="10"/>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F40" i="10"/>
  <c r="D40" i="10"/>
  <c r="E40" i="10" s="1"/>
  <c r="B40" i="10"/>
  <c r="C40" i="10" s="1"/>
  <c r="AC39" i="10"/>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E39" i="10"/>
  <c r="C39" i="10"/>
  <c r="D39" i="10" s="1"/>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K37" i="10"/>
  <c r="L37" i="10" s="1"/>
  <c r="M37" i="10" s="1"/>
  <c r="N37" i="10" s="1"/>
  <c r="O37" i="10" s="1"/>
  <c r="P37" i="10" s="1"/>
  <c r="Q37" i="10" s="1"/>
  <c r="R37" i="10" s="1"/>
  <c r="S37" i="10" s="1"/>
  <c r="T37" i="10" s="1"/>
  <c r="U37" i="10" s="1"/>
  <c r="V37" i="10" s="1"/>
  <c r="W37" i="10" s="1"/>
  <c r="X37" i="10" s="1"/>
  <c r="Y37" i="10" s="1"/>
  <c r="Z37" i="10" s="1"/>
  <c r="AA37" i="10" s="1"/>
  <c r="AB37" i="10" s="1"/>
  <c r="B37" i="10"/>
  <c r="C37" i="10" s="1"/>
  <c r="D37" i="10" s="1"/>
  <c r="E37" i="10" s="1"/>
  <c r="F37" i="10" s="1"/>
  <c r="G37" i="10" s="1"/>
  <c r="H37" i="10" s="1"/>
  <c r="I37" i="10" s="1"/>
  <c r="J37" i="10" s="1"/>
  <c r="AC36"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C35" i="10" s="1"/>
  <c r="K35" i="10"/>
  <c r="L35" i="10" s="1"/>
  <c r="M35" i="10" s="1"/>
  <c r="N35" i="10" s="1"/>
  <c r="O35" i="10" s="1"/>
  <c r="P35" i="10" s="1"/>
  <c r="Q35" i="10" s="1"/>
  <c r="R35" i="10" s="1"/>
  <c r="S35" i="10" s="1"/>
  <c r="T35" i="10" s="1"/>
  <c r="U35" i="10" s="1"/>
  <c r="V35" i="10" s="1"/>
  <c r="W35" i="10" s="1"/>
  <c r="X35" i="10" s="1"/>
  <c r="Y35" i="10" s="1"/>
  <c r="Z35" i="10" s="1"/>
  <c r="AA35" i="10" s="1"/>
  <c r="AB35" i="10" s="1"/>
  <c r="J35" i="10"/>
  <c r="G35" i="10"/>
  <c r="H35" i="10" s="1"/>
  <c r="I35" i="10" s="1"/>
  <c r="F35" i="10"/>
  <c r="E35" i="10"/>
  <c r="D35" i="10"/>
  <c r="B35" i="10"/>
  <c r="AC34" i="10"/>
  <c r="D34" i="10"/>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C34" i="10" s="1"/>
  <c r="AC33" i="10"/>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C32" i="10" s="1"/>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E27" i="10"/>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D27" i="10"/>
  <c r="C27" i="10"/>
  <c r="B27" i="10"/>
  <c r="AC26" i="10"/>
  <c r="F26" i="10"/>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D26" i="10"/>
  <c r="E26" i="10" s="1"/>
  <c r="C26" i="10"/>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B23" i="10"/>
  <c r="AC22" i="10"/>
  <c r="B22" i="10"/>
  <c r="AC21" i="10"/>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E18" i="10"/>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D18" i="10"/>
  <c r="B18" i="10"/>
  <c r="C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AC15" i="10"/>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C15" i="10" s="1"/>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AC9" i="10"/>
  <c r="B9" i="10"/>
  <c r="B5" i="10"/>
  <c r="B4" i="10"/>
  <c r="I9" i="9"/>
  <c r="G9" i="9"/>
  <c r="H9" i="9" s="1"/>
  <c r="C9" i="9"/>
  <c r="B9" i="9"/>
  <c r="D9" i="9" s="1"/>
  <c r="F9" i="9" s="1"/>
  <c r="A9" i="9"/>
  <c r="AA5" i="9"/>
  <c r="Z5" i="9"/>
  <c r="Y5" i="9"/>
  <c r="X5" i="9"/>
  <c r="W5" i="9"/>
  <c r="B2" i="9"/>
  <c r="H5" i="9" s="1"/>
  <c r="B1" i="9"/>
  <c r="F54" i="7"/>
  <c r="G54" i="7" s="1"/>
  <c r="E54" i="7"/>
  <c r="H54" i="7" s="1"/>
  <c r="D54" i="7"/>
  <c r="C54" i="7"/>
  <c r="F53" i="7"/>
  <c r="E53" i="7"/>
  <c r="D53" i="7"/>
  <c r="C53" i="7"/>
  <c r="H52" i="7"/>
  <c r="F52" i="7"/>
  <c r="G52" i="7" s="1"/>
  <c r="E52" i="7"/>
  <c r="D52" i="7"/>
  <c r="C52" i="7"/>
  <c r="F51" i="7"/>
  <c r="E51" i="7"/>
  <c r="D51" i="7"/>
  <c r="C51" i="7"/>
  <c r="F50" i="7"/>
  <c r="E50" i="7"/>
  <c r="D50" i="7"/>
  <c r="G50" i="7" s="1"/>
  <c r="C50" i="7"/>
  <c r="H49" i="7"/>
  <c r="F49" i="7"/>
  <c r="E49" i="7"/>
  <c r="D49" i="7"/>
  <c r="C49" i="7"/>
  <c r="G49" i="7" s="1"/>
  <c r="H48" i="7"/>
  <c r="F48" i="7"/>
  <c r="E48" i="7"/>
  <c r="D48" i="7"/>
  <c r="G48" i="7" s="1"/>
  <c r="C48" i="7"/>
  <c r="F47" i="7"/>
  <c r="E47" i="7"/>
  <c r="D47" i="7"/>
  <c r="C47" i="7"/>
  <c r="G47" i="7" s="1"/>
  <c r="F46" i="7"/>
  <c r="E46" i="7"/>
  <c r="D46" i="7"/>
  <c r="C46" i="7"/>
  <c r="F45" i="7"/>
  <c r="E45" i="7"/>
  <c r="D45" i="7"/>
  <c r="G45" i="7" s="1"/>
  <c r="C45" i="7"/>
  <c r="F44" i="7"/>
  <c r="E44" i="7"/>
  <c r="G44" i="7" s="1"/>
  <c r="D44" i="7"/>
  <c r="C44" i="7"/>
  <c r="F43" i="7"/>
  <c r="E43" i="7"/>
  <c r="D43" i="7"/>
  <c r="C43" i="7"/>
  <c r="F42" i="7"/>
  <c r="E42" i="7"/>
  <c r="D42" i="7"/>
  <c r="C42" i="7"/>
  <c r="G42" i="7" s="1"/>
  <c r="F41" i="7"/>
  <c r="E41" i="7"/>
  <c r="D41" i="7"/>
  <c r="C41" i="7"/>
  <c r="G41" i="7" s="1"/>
  <c r="F40" i="7"/>
  <c r="E40" i="7"/>
  <c r="H40" i="7" s="1"/>
  <c r="D40" i="7"/>
  <c r="C40" i="7"/>
  <c r="F39" i="7"/>
  <c r="E39" i="7"/>
  <c r="D39" i="7"/>
  <c r="C39" i="7"/>
  <c r="H38" i="7"/>
  <c r="G38" i="7"/>
  <c r="F38" i="7"/>
  <c r="E38" i="7"/>
  <c r="D38" i="7"/>
  <c r="C38" i="7"/>
  <c r="F37" i="7"/>
  <c r="E37" i="7"/>
  <c r="D37" i="7"/>
  <c r="H37" i="7" s="1"/>
  <c r="C37" i="7"/>
  <c r="G36" i="7"/>
  <c r="F36" i="7"/>
  <c r="E36" i="7"/>
  <c r="D36" i="7"/>
  <c r="C36" i="7"/>
  <c r="H36" i="7" s="1"/>
  <c r="F35" i="7"/>
  <c r="E35" i="7"/>
  <c r="D35" i="7"/>
  <c r="H35" i="7" s="1"/>
  <c r="C35" i="7"/>
  <c r="H34" i="7"/>
  <c r="G34" i="7"/>
  <c r="F34" i="7"/>
  <c r="E34" i="7"/>
  <c r="D34" i="7"/>
  <c r="C34" i="7"/>
  <c r="F33" i="7"/>
  <c r="E33" i="7"/>
  <c r="D33" i="7"/>
  <c r="C33" i="7"/>
  <c r="H33" i="7" s="1"/>
  <c r="F32" i="7"/>
  <c r="E32" i="7"/>
  <c r="D32" i="7"/>
  <c r="C32" i="7"/>
  <c r="F31" i="7"/>
  <c r="E31" i="7"/>
  <c r="D31" i="7"/>
  <c r="H31" i="7" s="1"/>
  <c r="C31" i="7"/>
  <c r="H30" i="7"/>
  <c r="G30" i="7"/>
  <c r="F30" i="7"/>
  <c r="E30" i="7"/>
  <c r="D30" i="7"/>
  <c r="C30" i="7"/>
  <c r="F29" i="7"/>
  <c r="E29" i="7"/>
  <c r="G29" i="7" s="1"/>
  <c r="D29" i="7"/>
  <c r="C29" i="7"/>
  <c r="H28" i="7"/>
  <c r="F28" i="7"/>
  <c r="E28" i="7"/>
  <c r="D28" i="7"/>
  <c r="C28" i="7"/>
  <c r="H27" i="7"/>
  <c r="F27" i="7"/>
  <c r="E27" i="7"/>
  <c r="G27" i="7" s="1"/>
  <c r="D27" i="7"/>
  <c r="C27" i="7"/>
  <c r="H26" i="7"/>
  <c r="F26" i="7"/>
  <c r="E26" i="7"/>
  <c r="D26" i="7"/>
  <c r="C26" i="7"/>
  <c r="G26" i="7" s="1"/>
  <c r="G25" i="7"/>
  <c r="F25" i="7"/>
  <c r="E25" i="7"/>
  <c r="D25" i="7"/>
  <c r="C25" i="7"/>
  <c r="H25" i="7" s="1"/>
  <c r="F24" i="7"/>
  <c r="E24" i="7"/>
  <c r="D24" i="7"/>
  <c r="C24" i="7"/>
  <c r="H23" i="7"/>
  <c r="F23" i="7"/>
  <c r="G23" i="7" s="1"/>
  <c r="E23" i="7"/>
  <c r="D23" i="7"/>
  <c r="C23" i="7"/>
  <c r="F22" i="7"/>
  <c r="E22" i="7"/>
  <c r="D22" i="7"/>
  <c r="C22" i="7"/>
  <c r="H22" i="7" s="1"/>
  <c r="F21" i="7"/>
  <c r="E21" i="7"/>
  <c r="D21" i="7"/>
  <c r="C21" i="7"/>
  <c r="F20" i="7"/>
  <c r="E20" i="7"/>
  <c r="D20" i="7"/>
  <c r="C20" i="7"/>
  <c r="F19" i="7"/>
  <c r="G19" i="7" s="1"/>
  <c r="E19" i="7"/>
  <c r="D19" i="7"/>
  <c r="C19" i="7"/>
  <c r="H18" i="7"/>
  <c r="F18" i="7"/>
  <c r="E18" i="7"/>
  <c r="G18" i="7" s="1"/>
  <c r="D18" i="7"/>
  <c r="C18" i="7"/>
  <c r="F17" i="7"/>
  <c r="E17" i="7"/>
  <c r="D17" i="7"/>
  <c r="C17" i="7"/>
  <c r="F16" i="7"/>
  <c r="E16" i="7"/>
  <c r="D16" i="7"/>
  <c r="C16" i="7"/>
  <c r="F15" i="7"/>
  <c r="H15" i="7" s="1"/>
  <c r="E15" i="7"/>
  <c r="D15" i="7"/>
  <c r="C15" i="7"/>
  <c r="G14" i="7"/>
  <c r="F14" i="7"/>
  <c r="E14" i="7"/>
  <c r="D14" i="7"/>
  <c r="C14" i="7"/>
  <c r="H14" i="7" s="1"/>
  <c r="H13" i="7"/>
  <c r="F13" i="7"/>
  <c r="E13" i="7"/>
  <c r="D13" i="7"/>
  <c r="G13" i="7" s="1"/>
  <c r="C13" i="7"/>
  <c r="F12" i="7"/>
  <c r="E12" i="7"/>
  <c r="D12" i="7"/>
  <c r="C12" i="7"/>
  <c r="H11" i="7"/>
  <c r="G11" i="7"/>
  <c r="F11" i="7"/>
  <c r="E11" i="7"/>
  <c r="D11" i="7"/>
  <c r="C11" i="7"/>
  <c r="F10" i="7"/>
  <c r="E10" i="7"/>
  <c r="D10" i="7"/>
  <c r="C10" i="7"/>
  <c r="H9" i="7"/>
  <c r="F9" i="7"/>
  <c r="E9" i="7"/>
  <c r="D9" i="7"/>
  <c r="G9" i="7" s="1"/>
  <c r="C9" i="7"/>
  <c r="F8" i="7"/>
  <c r="E8" i="7"/>
  <c r="D8" i="7"/>
  <c r="C8" i="7"/>
  <c r="H7" i="7"/>
  <c r="G7" i="7"/>
  <c r="F7" i="7"/>
  <c r="E7" i="7"/>
  <c r="D7" i="7"/>
  <c r="C7" i="7"/>
  <c r="B2" i="1"/>
  <c r="G5" i="9" l="1"/>
  <c r="Q5" i="9"/>
  <c r="R5" i="9"/>
  <c r="V5" i="9"/>
  <c r="K5" i="9"/>
  <c r="J5" i="9"/>
  <c r="L5" i="9"/>
  <c r="N5" i="9"/>
  <c r="O5" i="9"/>
  <c r="M5" i="9"/>
  <c r="P5" i="9"/>
  <c r="H19" i="7"/>
  <c r="D113"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H20" i="7"/>
  <c r="G20" i="7"/>
  <c r="G16" i="7"/>
  <c r="H16" i="7"/>
  <c r="G8" i="7"/>
  <c r="H8" i="7"/>
  <c r="G35" i="7"/>
  <c r="G15" i="7"/>
  <c r="H39" i="7"/>
  <c r="G39" i="7"/>
  <c r="G31" i="7"/>
  <c r="G24" i="7"/>
  <c r="H24" i="7"/>
  <c r="G53" i="7"/>
  <c r="G12" i="7"/>
  <c r="H12" i="7"/>
  <c r="H53" i="7"/>
  <c r="B57" i="10"/>
  <c r="D62" i="10"/>
  <c r="H43" i="7"/>
  <c r="G43" i="7"/>
  <c r="C9" i="10"/>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161" i="10"/>
  <c r="G37" i="7"/>
  <c r="H46" i="7"/>
  <c r="G46" i="7"/>
  <c r="G28" i="7"/>
  <c r="H41" i="7"/>
  <c r="H29" i="7"/>
  <c r="H10" i="7"/>
  <c r="G10" i="7"/>
  <c r="H42" i="7"/>
  <c r="H50" i="7"/>
  <c r="H45" i="7"/>
  <c r="G40" i="7"/>
  <c r="H21" i="7"/>
  <c r="G21" i="7"/>
  <c r="G33" i="7"/>
  <c r="G22" i="7"/>
  <c r="H47" i="7"/>
  <c r="H51" i="7"/>
  <c r="G51" i="7"/>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H32" i="7"/>
  <c r="G32" i="7"/>
  <c r="H17" i="7"/>
  <c r="G17" i="7"/>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T5" i="9"/>
  <c r="F5" i="9"/>
  <c r="AB5" i="9"/>
  <c r="E5" i="9"/>
  <c r="I5" i="9"/>
  <c r="U5" i="9"/>
  <c r="S5" i="9"/>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09"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5" i="9"/>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5" i="9"/>
  <c r="E9" i="9"/>
  <c r="H44" i="7"/>
  <c r="D5" i="9"/>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G6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D109" i="10" l="1"/>
  <c r="D172" i="10" s="1"/>
  <c r="D2" i="12" s="1"/>
  <c r="E62" i="10"/>
  <c r="Z21" i="10"/>
  <c r="H61" i="10"/>
  <c r="B172" i="10"/>
  <c r="B2" i="12" s="1"/>
  <c r="B171" i="10"/>
  <c r="B2" i="11" s="1"/>
  <c r="B173" i="10"/>
  <c r="B2" i="13" s="1"/>
  <c r="E113" i="10"/>
  <c r="D161" i="10"/>
  <c r="D173" i="10" s="1"/>
  <c r="D2" i="13" s="1"/>
  <c r="C161" i="10"/>
  <c r="C173" i="10" s="1"/>
  <c r="C2" i="13" s="1"/>
  <c r="C171" i="10"/>
  <c r="C2" i="11" s="1"/>
  <c r="D9" i="10"/>
  <c r="C57" i="10"/>
  <c r="C109" i="10"/>
  <c r="C172" i="10" s="1"/>
  <c r="C2" i="12" s="1"/>
  <c r="I61" i="10" l="1"/>
  <c r="E109" i="10"/>
  <c r="E172" i="10" s="1"/>
  <c r="E2" i="12" s="1"/>
  <c r="F62" i="10"/>
  <c r="AA21" i="10"/>
  <c r="E161" i="10"/>
  <c r="E173" i="10" s="1"/>
  <c r="E2" i="13" s="1"/>
  <c r="F113" i="10"/>
  <c r="D57" i="10"/>
  <c r="D171" i="10" s="1"/>
  <c r="D2" i="11" s="1"/>
  <c r="E9" i="10"/>
  <c r="AB21" i="10" l="1"/>
  <c r="J61" i="10"/>
  <c r="E57" i="10"/>
  <c r="E171" i="10" s="1"/>
  <c r="E2" i="11" s="1"/>
  <c r="F9" i="10"/>
  <c r="F161" i="10"/>
  <c r="F173" i="10" s="1"/>
  <c r="F2" i="13" s="1"/>
  <c r="G113" i="10"/>
  <c r="G62" i="10"/>
  <c r="F109" i="10"/>
  <c r="F172" i="10" s="1"/>
  <c r="F2" i="12" s="1"/>
  <c r="K61" i="10" l="1"/>
  <c r="G9" i="10"/>
  <c r="F57" i="10"/>
  <c r="F171" i="10" s="1"/>
  <c r="F2" i="11" s="1"/>
  <c r="H62" i="10"/>
  <c r="G109" i="10"/>
  <c r="G172" i="10" s="1"/>
  <c r="G2" i="12" s="1"/>
  <c r="G161" i="10"/>
  <c r="G173" i="10" s="1"/>
  <c r="G2" i="13" s="1"/>
  <c r="H113" i="10"/>
  <c r="I62" i="10" l="1"/>
  <c r="H109" i="10"/>
  <c r="H172" i="10" s="1"/>
  <c r="H2" i="12" s="1"/>
  <c r="I113" i="10"/>
  <c r="H161" i="10"/>
  <c r="H173" i="10" s="1"/>
  <c r="H2" i="13" s="1"/>
  <c r="G57" i="10"/>
  <c r="G171" i="10" s="1"/>
  <c r="G2" i="11" s="1"/>
  <c r="H9" i="10"/>
  <c r="L61" i="10"/>
  <c r="J113" i="10" l="1"/>
  <c r="I161" i="10"/>
  <c r="I173" i="10" s="1"/>
  <c r="I2" i="13" s="1"/>
  <c r="J62" i="10"/>
  <c r="I109" i="10"/>
  <c r="I172" i="10" s="1"/>
  <c r="I2" i="12" s="1"/>
  <c r="M61" i="10"/>
  <c r="H57" i="10"/>
  <c r="H171" i="10" s="1"/>
  <c r="H2" i="11" s="1"/>
  <c r="I9" i="10"/>
  <c r="J161" i="10" l="1"/>
  <c r="J173" i="10" s="1"/>
  <c r="J2" i="13" s="1"/>
  <c r="K113" i="10"/>
  <c r="I57" i="10"/>
  <c r="I171" i="10" s="1"/>
  <c r="I2" i="11" s="1"/>
  <c r="J9" i="10"/>
  <c r="N61" i="10"/>
  <c r="K62" i="10"/>
  <c r="J109" i="10"/>
  <c r="J172" i="10" s="1"/>
  <c r="J2" i="12" s="1"/>
  <c r="O61" i="10" l="1"/>
  <c r="J57" i="10"/>
  <c r="J171" i="10" s="1"/>
  <c r="J2" i="11" s="1"/>
  <c r="K9" i="10"/>
  <c r="K161" i="10"/>
  <c r="K173" i="10" s="1"/>
  <c r="K2" i="13" s="1"/>
  <c r="L113" i="10"/>
  <c r="L62" i="10"/>
  <c r="K109" i="10"/>
  <c r="K172" i="10" s="1"/>
  <c r="K2" i="12" s="1"/>
  <c r="M62" i="10" l="1"/>
  <c r="L109" i="10"/>
  <c r="L172" i="10" s="1"/>
  <c r="L2" i="12" s="1"/>
  <c r="L161" i="10"/>
  <c r="L173" i="10" s="1"/>
  <c r="L2" i="13" s="1"/>
  <c r="M113" i="10"/>
  <c r="K57" i="10"/>
  <c r="K171" i="10" s="1"/>
  <c r="K2" i="11" s="1"/>
  <c r="L9" i="10"/>
  <c r="P61" i="10"/>
  <c r="N113" i="10" l="1"/>
  <c r="M161" i="10"/>
  <c r="M173" i="10" s="1"/>
  <c r="M2" i="13" s="1"/>
  <c r="Q61" i="10"/>
  <c r="M9" i="10"/>
  <c r="L57" i="10"/>
  <c r="L171" i="10" s="1"/>
  <c r="L2" i="11" s="1"/>
  <c r="N62" i="10"/>
  <c r="M109" i="10"/>
  <c r="M172" i="10" s="1"/>
  <c r="M2" i="12" s="1"/>
  <c r="N9" i="10" l="1"/>
  <c r="M57" i="10"/>
  <c r="M171" i="10" s="1"/>
  <c r="M2" i="11" s="1"/>
  <c r="O62" i="10"/>
  <c r="N109" i="10"/>
  <c r="N172" i="10" s="1"/>
  <c r="N2" i="12" s="1"/>
  <c r="R61" i="10"/>
  <c r="N161" i="10"/>
  <c r="N173" i="10" s="1"/>
  <c r="N2" i="13" s="1"/>
  <c r="O113" i="10"/>
  <c r="S61" i="10" l="1"/>
  <c r="O9" i="10"/>
  <c r="N57" i="10"/>
  <c r="N171" i="10" s="1"/>
  <c r="N2" i="11" s="1"/>
  <c r="P62" i="10"/>
  <c r="O109" i="10"/>
  <c r="O172" i="10" s="1"/>
  <c r="O2" i="12" s="1"/>
  <c r="P113" i="10"/>
  <c r="O161" i="10"/>
  <c r="O173" i="10" s="1"/>
  <c r="O2" i="13" s="1"/>
  <c r="Q113" i="10" l="1"/>
  <c r="P161" i="10"/>
  <c r="P173" i="10" s="1"/>
  <c r="P2" i="13" s="1"/>
  <c r="Q62" i="10"/>
  <c r="P109" i="10"/>
  <c r="P172" i="10" s="1"/>
  <c r="P2" i="12" s="1"/>
  <c r="P9" i="10"/>
  <c r="O57" i="10"/>
  <c r="O171" i="10" s="1"/>
  <c r="O2" i="11" s="1"/>
  <c r="T61" i="10"/>
  <c r="U61" i="10" l="1"/>
  <c r="Q9" i="10"/>
  <c r="P57" i="10"/>
  <c r="P171" i="10" s="1"/>
  <c r="P2" i="11" s="1"/>
  <c r="R62" i="10"/>
  <c r="Q109" i="10"/>
  <c r="Q172" i="10" s="1"/>
  <c r="Q2" i="12" s="1"/>
  <c r="Q161" i="10"/>
  <c r="Q173" i="10" s="1"/>
  <c r="Q2" i="13" s="1"/>
  <c r="R113" i="10"/>
  <c r="S62" i="10" l="1"/>
  <c r="R109" i="10"/>
  <c r="R172" i="10" s="1"/>
  <c r="R2" i="12" s="1"/>
  <c r="R9" i="10"/>
  <c r="Q57" i="10"/>
  <c r="Q171" i="10" s="1"/>
  <c r="Q2" i="11" s="1"/>
  <c r="V61" i="10"/>
  <c r="R161" i="10"/>
  <c r="R173" i="10" s="1"/>
  <c r="R2" i="13" s="1"/>
  <c r="S113" i="10"/>
  <c r="W61" i="10" l="1"/>
  <c r="T113" i="10"/>
  <c r="S161" i="10"/>
  <c r="S173" i="10" s="1"/>
  <c r="S2" i="13" s="1"/>
  <c r="R57" i="10"/>
  <c r="R171" i="10" s="1"/>
  <c r="R2" i="11" s="1"/>
  <c r="S9" i="10"/>
  <c r="T62" i="10"/>
  <c r="S109" i="10"/>
  <c r="S172" i="10" s="1"/>
  <c r="S2" i="12" s="1"/>
  <c r="T9" i="10" l="1"/>
  <c r="S57" i="10"/>
  <c r="S171" i="10" s="1"/>
  <c r="S2" i="11" s="1"/>
  <c r="U62" i="10"/>
  <c r="T109" i="10"/>
  <c r="T172" i="10" s="1"/>
  <c r="T2" i="12" s="1"/>
  <c r="T161" i="10"/>
  <c r="T173" i="10" s="1"/>
  <c r="T2" i="13" s="1"/>
  <c r="U113" i="10"/>
  <c r="X61" i="10"/>
  <c r="U161" i="10" l="1"/>
  <c r="U173" i="10" s="1"/>
  <c r="U2" i="13" s="1"/>
  <c r="V113" i="10"/>
  <c r="V62" i="10"/>
  <c r="U109" i="10"/>
  <c r="U172" i="10" s="1"/>
  <c r="U2" i="12" s="1"/>
  <c r="Y61" i="10"/>
  <c r="T57" i="10"/>
  <c r="T171" i="10" s="1"/>
  <c r="T2" i="11" s="1"/>
  <c r="U9" i="10"/>
  <c r="Z61" i="10" l="1"/>
  <c r="V9" i="10"/>
  <c r="U57" i="10"/>
  <c r="U171" i="10" s="1"/>
  <c r="U2" i="11" s="1"/>
  <c r="W62" i="10"/>
  <c r="V109" i="10"/>
  <c r="V172" i="10" s="1"/>
  <c r="V2" i="12" s="1"/>
  <c r="V161" i="10"/>
  <c r="V173" i="10" s="1"/>
  <c r="V2" i="13" s="1"/>
  <c r="W113" i="10"/>
  <c r="W161" i="10" l="1"/>
  <c r="W173" i="10" s="1"/>
  <c r="W2" i="13" s="1"/>
  <c r="X113" i="10"/>
  <c r="X62" i="10"/>
  <c r="W109" i="10"/>
  <c r="W172" i="10" s="1"/>
  <c r="W2" i="12" s="1"/>
  <c r="W9" i="10"/>
  <c r="V57" i="10"/>
  <c r="V171" i="10" s="1"/>
  <c r="V2" i="11" s="1"/>
  <c r="AA61" i="10"/>
  <c r="X9" i="10" l="1"/>
  <c r="W57" i="10"/>
  <c r="W171" i="10" s="1"/>
  <c r="W2" i="11" s="1"/>
  <c r="Y62" i="10"/>
  <c r="X109" i="10"/>
  <c r="X172" i="10" s="1"/>
  <c r="X2" i="12" s="1"/>
  <c r="AB61" i="10"/>
  <c r="X161" i="10"/>
  <c r="X173" i="10" s="1"/>
  <c r="X2" i="13" s="1"/>
  <c r="Y113" i="10"/>
  <c r="Y161" i="10" l="1"/>
  <c r="Y173" i="10" s="1"/>
  <c r="Y2" i="13" s="1"/>
  <c r="Z113" i="10"/>
  <c r="Z62" i="10"/>
  <c r="Y109" i="10"/>
  <c r="Y172" i="10" s="1"/>
  <c r="Y2" i="12" s="1"/>
  <c r="Y9" i="10"/>
  <c r="X57" i="10"/>
  <c r="X171" i="10" s="1"/>
  <c r="X2" i="11" s="1"/>
  <c r="Z9" i="10" l="1"/>
  <c r="Y57" i="10"/>
  <c r="Y171" i="10" s="1"/>
  <c r="Y2" i="11" s="1"/>
  <c r="AA62" i="10"/>
  <c r="Z109" i="10"/>
  <c r="Z172" i="10" s="1"/>
  <c r="Z2" i="12" s="1"/>
  <c r="Z161" i="10"/>
  <c r="Z173" i="10" s="1"/>
  <c r="Z2" i="13" s="1"/>
  <c r="AA113" i="10"/>
  <c r="AB113" i="10" l="1"/>
  <c r="AB161" i="10" s="1"/>
  <c r="AB173" i="10" s="1"/>
  <c r="AB2" i="13" s="1"/>
  <c r="AA161" i="10"/>
  <c r="AA173" i="10" s="1"/>
  <c r="AA2" i="13" s="1"/>
  <c r="AB62" i="10"/>
  <c r="AB109" i="10" s="1"/>
  <c r="AB172" i="10" s="1"/>
  <c r="AB2" i="12" s="1"/>
  <c r="AA109" i="10"/>
  <c r="AA172" i="10" s="1"/>
  <c r="AA2" i="12" s="1"/>
  <c r="Z57" i="10"/>
  <c r="Z171" i="10" s="1"/>
  <c r="Z2" i="11" s="1"/>
  <c r="AA9" i="10"/>
  <c r="AA57" i="10" l="1"/>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<sst xmlns="http://schemas.openxmlformats.org/spreadsheetml/2006/main" count="725" uniqueCount="267">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</sst>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104</v>
      </c>
      <c r="C1" s="11">
        <v>46266</v>
      </c>
      <c r="F1" s="1" t="s">
        <v>2</v>
      </c>
      <c r="G1" s="1" t="s">
        <v>3</v>
      </c>
    </row>
    <row r="2" spans="1:7" x14ac:dyDescent="0.45">
      <c r="A2" s="1" t="s">
        <v>4</v>
      </c>
      <c r="B2" t="str">
        <f>INDEX($G$2:$G$49,MATCH($B$1,$F$2:$F$49,0))</f>
        <v>TX</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Texas</v>
      </c>
    </row>
    <row r="2" spans="1:28" x14ac:dyDescent="0.45">
      <c r="B2" t="str">
        <f>About!B2</f>
        <v>TX</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Texas</v>
      </c>
    </row>
    <row r="5" spans="1:29" x14ac:dyDescent="0.45">
      <c r="A5" t="s">
        <v>246</v>
      </c>
      <c r="B5" t="str">
        <f>About!$B$2</f>
        <v>TX</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33847004.979127899</v>
      </c>
      <c r="C171">
        <f>IF('State Calculations'!C$5&lt;&gt;"",B171*(1+'State Calculations'!C$5),IFERROR(INDEX(C9:C56,MATCH($B$5,$A9:$A56,0))/C57*C165,0))</f>
        <v>37312322.469911389</v>
      </c>
      <c r="D171">
        <f>IF('State Calculations'!D$5&lt;&gt;"",C171*(1+'State Calculations'!D$5),IFERROR(INDEX(D9:D56,MATCH($B$5,$A9:$A56,0))/D57*D165,0))</f>
        <v>40991175.182204187</v>
      </c>
      <c r="E171">
        <f>IF('State Calculations'!E$5&lt;&gt;"",D171*(1+'State Calculations'!E$5),IFERROR(INDEX(E9:E56,MATCH($B$5,$A9:$A56,0))/E57*E165,0))</f>
        <v>44847433.954010651</v>
      </c>
      <c r="F171">
        <f>IF('State Calculations'!F$5&lt;&gt;"",E171*(1+'State Calculations'!F$5),IFERROR(INDEX(F9:F56,MATCH($B$5,$A9:$A56,0))/F57*F165,0))</f>
        <v>48814018.63149377</v>
      </c>
      <c r="G171">
        <f>IF('State Calculations'!G$5&lt;&gt;"",F171*(1+'State Calculations'!G$5),IFERROR(INDEX(G9:G56,MATCH($B$5,$A9:$A56,0))/G57*G165,0))</f>
        <v>52772154.164294921</v>
      </c>
      <c r="H171">
        <f>IF('State Calculations'!H$5&lt;&gt;"",G171*(1+'State Calculations'!H$5),IFERROR(INDEX(H9:H56,MATCH($B$5,$A9:$A56,0))/H57*H165,0))</f>
        <v>56516261.975700684</v>
      </c>
      <c r="I171">
        <f>IF('State Calculations'!I$5&lt;&gt;"",H171*(1+'State Calculations'!I$5),IFERROR(INDEX(I9:I56,MATCH($B$5,$A9:$A56,0))/I57*I165,0))</f>
        <v>57337507.438507214</v>
      </c>
      <c r="J171">
        <f>IF('State Calculations'!J$5&lt;&gt;"",I171*(1+'State Calculations'!J$5),IFERROR(INDEX(J9:J56,MATCH($B$5,$A9:$A56,0))/J57*J165,0))</f>
        <v>58083270.85022261</v>
      </c>
      <c r="K171">
        <f>IF('State Calculations'!K$5&lt;&gt;"",J171*(1+'State Calculations'!K$5),IFERROR(INDEX(K9:K56,MATCH($B$5,$A9:$A56,0))/K57*K165,0))</f>
        <v>58735705.44611939</v>
      </c>
      <c r="L171">
        <f>IF('State Calculations'!L$5&lt;&gt;"",K171*(1+'State Calculations'!L$5),IFERROR(INDEX(L9:L56,MATCH($B$5,$A9:$A56,0))/L57*L165,0))</f>
        <v>59273899.199021325</v>
      </c>
      <c r="M171">
        <f>IF('State Calculations'!M$5&lt;&gt;"",L171*(1+'State Calculations'!M$5),IFERROR(INDEX(M9:M56,MATCH($B$5,$A9:$A56,0))/M57*M165,0))</f>
        <v>59673611.234128177</v>
      </c>
      <c r="N171">
        <f>IF('State Calculations'!N$5&lt;&gt;"",M171*(1+'State Calculations'!N$5),IFERROR(INDEX(N9:N56,MATCH($B$5,$A9:$A56,0))/N57*N165,0))</f>
        <v>59731597.048238903</v>
      </c>
      <c r="O171">
        <f>IF('State Calculations'!O$5&lt;&gt;"",N171*(1+'State Calculations'!O$5),IFERROR(INDEX(O9:O56,MATCH($B$5,$A9:$A56,0))/O57*O165,0))</f>
        <v>59776660.971876301</v>
      </c>
      <c r="P171">
        <f>IF('State Calculations'!P$5&lt;&gt;"",O171*(1+'State Calculations'!P$5),IFERROR(INDEX(P9:P56,MATCH($B$5,$A9:$A56,0))/P57*P165,0))</f>
        <v>59808177.890347943</v>
      </c>
      <c r="Q171">
        <f>IF('State Calculations'!Q$5&lt;&gt;"",P171*(1+'State Calculations'!Q$5),IFERROR(INDEX(Q9:Q56,MATCH($B$5,$A9:$A56,0))/Q57*Q165,0))</f>
        <v>59825504.206169412</v>
      </c>
      <c r="R171">
        <f>IF('State Calculations'!R$5&lt;&gt;"",Q171*(1+'State Calculations'!R$5),IFERROR(INDEX(R9:R56,MATCH($B$5,$A9:$A56,0))/R57*R165,0))</f>
        <v>59827978.596732996</v>
      </c>
      <c r="S171">
        <f>IF('State Calculations'!S$5&lt;&gt;"",R171*(1+'State Calculations'!S$5),IFERROR(INDEX(S9:S56,MATCH($B$5,$A9:$A56,0))/S57*S165,0))</f>
        <v>59824573.636797778</v>
      </c>
      <c r="T171">
        <f>IF('State Calculations'!T$5&lt;&gt;"",S171*(1+'State Calculations'!T$5),IFERROR(INDEX(T9:T56,MATCH($B$5,$A9:$A56,0))/T57*T165,0))</f>
        <v>59820139.427856386</v>
      </c>
      <c r="U171">
        <f>IF('State Calculations'!U$5&lt;&gt;"",T171*(1+'State Calculations'!U$5),IFERROR(INDEX(U9:U56,MATCH($B$5,$A9:$A56,0))/U57*U165,0))</f>
        <v>59814664.336107373</v>
      </c>
      <c r="V171">
        <f>IF('State Calculations'!V$5&lt;&gt;"",U171*(1+'State Calculations'!V$5),IFERROR(INDEX(V9:V56,MATCH($B$5,$A9:$A56,0))/V57*V165,0))</f>
        <v>59808136.662789986</v>
      </c>
      <c r="W171">
        <f>IF('State Calculations'!W$5&lt;&gt;"",V171*(1+'State Calculations'!W$5),IFERROR(INDEX(W9:W56,MATCH($B$5,$A9:$A56,0))/W57*W165,0))</f>
        <v>59800544.645795174</v>
      </c>
      <c r="X171">
        <f>IF('State Calculations'!X$5&lt;&gt;"",W171*(1+'State Calculations'!X$5),IFERROR(INDEX(X9:X56,MATCH($B$5,$A9:$A56,0))/X57*X165,0))</f>
        <v>59798366.185964771</v>
      </c>
      <c r="Y171">
        <f>IF('State Calculations'!Y$5&lt;&gt;"",X171*(1+'State Calculations'!Y$5),IFERROR(INDEX(Y9:Y56,MATCH($B$5,$A9:$A56,0))/Y57*Y165,0))</f>
        <v>59796119.452402994</v>
      </c>
      <c r="Z171">
        <f>IF('State Calculations'!Z$5&lt;&gt;"",Y171*(1+'State Calculations'!Z$5),IFERROR(INDEX(Z9:Z56,MATCH($B$5,$A9:$A56,0))/Z57*Z165,0))</f>
        <v>59793804.256009839</v>
      </c>
      <c r="AA171">
        <f>IF('State Calculations'!AA$5&lt;&gt;"",Z171*(1+'State Calculations'!AA$5),IFERROR(INDEX(AA9:AA56,MATCH($B$5,$A9:$A56,0))/AA57*AA165,0))</f>
        <v>59791420.407448143</v>
      </c>
      <c r="AB171">
        <f>IF('State Calculations'!AB$5&lt;&gt;"",AA171*(1+'State Calculations'!AB$5),IFERROR(INDEX(AB9:AB56,MATCH($B$5,$A9:$A56,0))/AB57*AB165,0))</f>
        <v>59788967.717145741</v>
      </c>
    </row>
    <row r="172" spans="1:29" x14ac:dyDescent="0.45">
      <c r="A172" s="1" t="s">
        <v>262</v>
      </c>
      <c r="B172">
        <f>IF('State Calculations'!B$5&lt;&gt;"",A172*(1+'State Calculations'!B$5),IFERROR(INDEX(B61:B108,MATCH($B$5,$A61:$A108,0))/B109*B166,0))</f>
        <v>33847004.979127899</v>
      </c>
      <c r="C172">
        <f>IF('State Calculations'!C$5&lt;&gt;"",B172*(1+'State Calculations'!C$5),IFERROR(INDEX(C61:C108,MATCH($B$5,$A61:$A108,0))/C109*C166,0))</f>
        <v>40481075.595907517</v>
      </c>
      <c r="D172">
        <f>IF('State Calculations'!D$5&lt;&gt;"",C172*(1+'State Calculations'!D$5),IFERROR(INDEX(D61:D108,MATCH($B$5,$A61:$A108,0))/D109*D166,0))</f>
        <v>48106223.515972301</v>
      </c>
      <c r="E172">
        <f>IF('State Calculations'!E$5&lt;&gt;"",D172*(1+'State Calculations'!E$5),IFERROR(INDEX(E61:E108,MATCH($B$5,$A61:$A108,0))/E109*E166,0))</f>
        <v>56742055.102344058</v>
      </c>
      <c r="F172">
        <f>IF('State Calculations'!F$5&lt;&gt;"",E172*(1+'State Calculations'!F$5),IFERROR(INDEX(F61:F108,MATCH($B$5,$A61:$A108,0))/F109*F166,0))</f>
        <v>66329115.988467418</v>
      </c>
      <c r="G172">
        <f>IF('State Calculations'!G$5&lt;&gt;"",F172*(1+'State Calculations'!G$5),IFERROR(INDEX(G61:G108,MATCH($B$5,$A61:$A108,0))/G109*G166,0))</f>
        <v>76674547.542546317</v>
      </c>
      <c r="H172">
        <f>IF('State Calculations'!H$5&lt;&gt;"",G172*(1+'State Calculations'!H$5),IFERROR(INDEX(H61:H108,MATCH($B$5,$A61:$A108,0))/H109*H166,0))</f>
        <v>87374038.953045681</v>
      </c>
      <c r="I172">
        <f>IF('State Calculations'!I$5&lt;&gt;"",H172*(1+'State Calculations'!I$5),IFERROR(INDEX(I61:I108,MATCH($B$5,$A61:$A108,0))/I109*I166,0))</f>
        <v>89963375.208649904</v>
      </c>
      <c r="J172">
        <f>IF('State Calculations'!J$5&lt;&gt;"",I172*(1+'State Calculations'!J$5),IFERROR(INDEX(J61:J108,MATCH($B$5,$A61:$A108,0))/J109*J166,0))</f>
        <v>92435273.324462369</v>
      </c>
      <c r="K172">
        <f>IF('State Calculations'!K$5&lt;&gt;"",J172*(1+'State Calculations'!K$5),IFERROR(INDEX(K61:K108,MATCH($B$5,$A61:$A108,0))/K109*K166,0))</f>
        <v>94752693.974573895</v>
      </c>
      <c r="L172">
        <f>IF('State Calculations'!L$5&lt;&gt;"",K172*(1+'State Calculations'!L$5),IFERROR(INDEX(L61:L108,MATCH($B$5,$A61:$A108,0))/L109*L166,0))</f>
        <v>96873762.756883323</v>
      </c>
      <c r="M172">
        <f>IF('State Calculations'!M$5&lt;&gt;"",L172*(1+'State Calculations'!M$5),IFERROR(INDEX(M61:M108,MATCH($B$5,$A61:$A108,0))/M109*M166,0))</f>
        <v>98751768.921417415</v>
      </c>
      <c r="N172">
        <f>IF('State Calculations'!N$5&lt;&gt;"",M172*(1+'State Calculations'!N$5),IFERROR(INDEX(N61:N108,MATCH($B$5,$A61:$A108,0))/N109*N166,0))</f>
        <v>99139022.537514061</v>
      </c>
      <c r="O172">
        <f>IF('State Calculations'!O$5&lt;&gt;"",N172*(1+'State Calculations'!O$5),IFERROR(INDEX(O61:O108,MATCH($B$5,$A61:$A108,0))/O109*O166,0))</f>
        <v>99502506.197276086</v>
      </c>
      <c r="P172">
        <f>IF('State Calculations'!P$5&lt;&gt;"",O172*(1+'State Calculations'!P$5),IFERROR(INDEX(P61:P108,MATCH($B$5,$A61:$A108,0))/P109*P166,0))</f>
        <v>99841101.928354964</v>
      </c>
      <c r="Q172">
        <f>IF('State Calculations'!Q$5&lt;&gt;"",P172*(1+'State Calculations'!Q$5),IFERROR(INDEX(Q61:Q108,MATCH($B$5,$A61:$A108,0))/Q109*Q166,0))</f>
        <v>100153671.75240305</v>
      </c>
      <c r="R172">
        <f>IF('State Calculations'!R$5&lt;&gt;"",Q172*(1+'State Calculations'!R$5),IFERROR(INDEX(R61:R108,MATCH($B$5,$A61:$A108,0))/R109*R166,0))</f>
        <v>100439059.58826056</v>
      </c>
      <c r="S172">
        <f>IF('State Calculations'!S$5&lt;&gt;"",R172*(1+'State Calculations'!S$5),IFERROR(INDEX(S61:S108,MATCH($B$5,$A61:$A108,0))/S109*S166,0))</f>
        <v>100502369.57458657</v>
      </c>
      <c r="T172">
        <f>IF('State Calculations'!T$5&lt;&gt;"",S172*(1+'State Calculations'!T$5),IFERROR(INDEX(T61:T108,MATCH($B$5,$A61:$A108,0))/T109*T166,0))</f>
        <v>100563787.4114542</v>
      </c>
      <c r="U172">
        <f>IF('State Calculations'!U$5&lt;&gt;"",T172*(1+'State Calculations'!U$5),IFERROR(INDEX(U61:U108,MATCH($B$5,$A61:$A108,0))/U109*U166,0))</f>
        <v>100623293.15992953</v>
      </c>
      <c r="V172">
        <f>IF('State Calculations'!V$5&lt;&gt;"",U172*(1+'State Calculations'!V$5),IFERROR(INDEX(V61:V108,MATCH($B$5,$A61:$A108,0))/V109*V166,0))</f>
        <v>100680866.82708672</v>
      </c>
      <c r="W172">
        <f>IF('State Calculations'!W$5&lt;&gt;"",V172*(1+'State Calculations'!W$5),IFERROR(INDEX(W61:W108,MATCH($B$5,$A61:$A108,0))/W109*W166,0))</f>
        <v>100736488.36912514</v>
      </c>
      <c r="X172">
        <f>IF('State Calculations'!X$5&lt;&gt;"",W172*(1+'State Calculations'!X$5),IFERROR(INDEX(X61:X108,MATCH($B$5,$A61:$A108,0))/X109*X166,0))</f>
        <v>100749832.82748528</v>
      </c>
      <c r="Y172">
        <f>IF('State Calculations'!Y$5&lt;&gt;"",X172*(1+'State Calculations'!Y$5),IFERROR(INDEX(Y61:Y108,MATCH($B$5,$A61:$A108,0))/Y109*Y166,0))</f>
        <v>100763051.96392345</v>
      </c>
      <c r="Z172">
        <f>IF('State Calculations'!Z$5&lt;&gt;"",Y172*(1+'State Calculations'!Z$5),IFERROR(INDEX(Z61:Z108,MATCH($B$5,$A61:$A108,0))/Z109*Z166,0))</f>
        <v>100776145.45775817</v>
      </c>
      <c r="AA172">
        <f>IF('State Calculations'!AA$5&lt;&gt;"",Z172*(1+'State Calculations'!AA$5),IFERROR(INDEX(AA61:AA108,MATCH($B$5,$A61:$A108,0))/AA109*AA166,0))</f>
        <v>100789112.98813508</v>
      </c>
      <c r="AB172">
        <f>IF('State Calculations'!AB$5&lt;&gt;"",AA172*(1+'State Calculations'!AB$5),IFERROR(INDEX(AB61:AB108,MATCH($B$5,$A61:$A108,0))/AB109*AB166,0))</f>
        <v>100801954.23403049</v>
      </c>
    </row>
    <row r="173" spans="1:29" x14ac:dyDescent="0.45">
      <c r="A173" s="1" t="s">
        <v>263</v>
      </c>
      <c r="B173">
        <f>IF('State Calculations'!B$5&lt;&gt;"",A173*(1+'State Calculations'!B$5),IFERROR(INDEX(B113:B160,MATCH($B$5,$A113:$A160,0))/B161*B167,0))</f>
        <v>33847004.979127899</v>
      </c>
      <c r="C173">
        <f>IF('State Calculations'!C$5&lt;&gt;"",B173*(1+'State Calculations'!C$5),IFERROR(INDEX(C113:C160,MATCH($B$5,$A113:$A160,0))/C161*C167,0))</f>
        <v>43085981.256199248</v>
      </c>
      <c r="D173">
        <f>IF('State Calculations'!D$5&lt;&gt;"",C173*(1+'State Calculations'!D$5),IFERROR(INDEX(D113:D160,MATCH($B$5,$A113:$A160,0))/D161*D167,0))</f>
        <v>54437099.709909007</v>
      </c>
      <c r="E173">
        <f>IF('State Calculations'!E$5&lt;&gt;"",D173*(1+'State Calculations'!E$5),IFERROR(INDEX(E113:E160,MATCH($B$5,$A113:$A160,0))/E161*E167,0))</f>
        <v>68194050.988738731</v>
      </c>
      <c r="F173">
        <f>IF('State Calculations'!F$5&lt;&gt;"",E173*(1+'State Calculations'!F$5),IFERROR(INDEX(F113:F160,MATCH($B$5,$A113:$A160,0))/F161*F167,0))</f>
        <v>84573177.357106254</v>
      </c>
      <c r="G173">
        <f>IF('State Calculations'!G$5&lt;&gt;"",F173*(1+'State Calculations'!G$5),IFERROR(INDEX(G113:G160,MATCH($B$5,$A113:$A160,0))/G161*G167,0))</f>
        <v>103608418.75705555</v>
      </c>
      <c r="H173">
        <f>IF('State Calculations'!H$5&lt;&gt;"",G173*(1+'State Calculations'!H$5),IFERROR(INDEX(H113:H160,MATCH($B$5,$A113:$A160,0))/H161*H167,0))</f>
        <v>124982134.23102468</v>
      </c>
      <c r="I173">
        <f>IF('State Calculations'!I$5&lt;&gt;"",H173*(1+'State Calculations'!I$5),IFERROR(INDEX(I113:I160,MATCH($B$5,$A113:$A160,0))/I161*I167,0))</f>
        <v>130667048.44731051</v>
      </c>
      <c r="J173">
        <f>IF('State Calculations'!J$5&lt;&gt;"",I173*(1+'State Calculations'!J$5),IFERROR(INDEX(J113:J160,MATCH($B$5,$A113:$A160,0))/J161*J167,0))</f>
        <v>136284385.44591612</v>
      </c>
      <c r="K173">
        <f>IF('State Calculations'!K$5&lt;&gt;"",J173*(1+'State Calculations'!K$5),IFERROR(INDEX(K113:K160,MATCH($B$5,$A113:$A160,0))/K161*K167,0))</f>
        <v>141764138.47532728</v>
      </c>
      <c r="L173">
        <f>IF('State Calculations'!L$5&lt;&gt;"",K173*(1+'State Calculations'!L$5),IFERROR(INDEX(L113:L160,MATCH($B$5,$A113:$A160,0))/L161*L167,0))</f>
        <v>147024273.51512918</v>
      </c>
      <c r="M173">
        <f>IF('State Calculations'!M$5&lt;&gt;"",L173*(1+'State Calculations'!M$5),IFERROR(INDEX(M113:M160,MATCH($B$5,$A113:$A160,0))/M161*M167,0))</f>
        <v>151970239.61362475</v>
      </c>
      <c r="N173">
        <f>IF('State Calculations'!N$5&lt;&gt;"",M173*(1+'State Calculations'!N$5),IFERROR(INDEX(N113:N160,MATCH($B$5,$A113:$A160,0))/N161*N167,0))</f>
        <v>153082384.57744008</v>
      </c>
      <c r="O173">
        <f>IF('State Calculations'!O$5&lt;&gt;"",N173*(1+'State Calculations'!O$5),IFERROR(INDEX(O113:O160,MATCH($B$5,$A113:$A160,0))/O161*O167,0))</f>
        <v>154156813.66768017</v>
      </c>
      <c r="P173">
        <f>IF('State Calculations'!P$5&lt;&gt;"",O173*(1+'State Calculations'!P$5),IFERROR(INDEX(P113:P160,MATCH($B$5,$A113:$A160,0))/P161*P167,0))</f>
        <v>155191058.14369985</v>
      </c>
      <c r="Q173">
        <f>IF('State Calculations'!Q$5&lt;&gt;"",P173*(1+'State Calculations'!Q$5),IFERROR(INDEX(Q113:Q160,MATCH($B$5,$A113:$A160,0))/Q161*Q167,0))</f>
        <v>156182588.35236424</v>
      </c>
      <c r="R173">
        <f>IF('State Calculations'!R$5&lt;&gt;"",Q173*(1+'State Calculations'!R$5),IFERROR(INDEX(R113:R160,MATCH($B$5,$A113:$A160,0))/R161*R167,0))</f>
        <v>157128817.61782417</v>
      </c>
      <c r="S173">
        <f>IF('State Calculations'!S$5&lt;&gt;"",R173*(1+'State Calculations'!S$5),IFERROR(INDEX(S113:S160,MATCH($B$5,$A113:$A160,0))/S161*S167,0))</f>
        <v>157351303.51846892</v>
      </c>
      <c r="T173">
        <f>IF('State Calculations'!T$5&lt;&gt;"",S173*(1+'State Calculations'!T$5),IFERROR(INDEX(T113:T160,MATCH($B$5,$A113:$A160,0))/T161*T167,0))</f>
        <v>157570525.63381156</v>
      </c>
      <c r="U173">
        <f>IF('State Calculations'!U$5&lt;&gt;"",T173*(1+'State Calculations'!U$5),IFERROR(INDEX(U113:U160,MATCH($B$5,$A113:$A160,0))/U161*U167,0))</f>
        <v>157786438.46020997</v>
      </c>
      <c r="V173">
        <f>IF('State Calculations'!V$5&lt;&gt;"",U173*(1+'State Calculations'!V$5),IFERROR(INDEX(V113:V160,MATCH($B$5,$A113:$A160,0))/V161*V167,0))</f>
        <v>157998996.30125043</v>
      </c>
      <c r="W173">
        <f>IF('State Calculations'!W$5&lt;&gt;"",V173*(1+'State Calculations'!W$5),IFERROR(INDEX(W113:W160,MATCH($B$5,$A113:$A160,0))/W161*W167,0))</f>
        <v>158208153.27479514</v>
      </c>
      <c r="X173">
        <f>IF('State Calculations'!X$5&lt;&gt;"",W173*(1+'State Calculations'!X$5),IFERROR(INDEX(X113:X160,MATCH($B$5,$A113:$A160,0))/X161*X167,0))</f>
        <v>158259430.92574716</v>
      </c>
      <c r="Y173">
        <f>IF('State Calculations'!Y$5&lt;&gt;"",X173*(1+'State Calculations'!Y$5),IFERROR(INDEX(Y113:Y160,MATCH($B$5,$A113:$A160,0))/Y161*Y167,0))</f>
        <v>158310488.49790505</v>
      </c>
      <c r="Z173">
        <f>IF('State Calculations'!Z$5&lt;&gt;"",Y173*(1+'State Calculations'!Z$5),IFERROR(INDEX(Z113:Z160,MATCH($B$5,$A113:$A160,0))/Z161*Z167,0))</f>
        <v>158361325.2536602</v>
      </c>
      <c r="AA173">
        <f>IF('State Calculations'!AA$5&lt;&gt;"",Z173*(1+'State Calculations'!AA$5),IFERROR(INDEX(AA113:AA160,MATCH($B$5,$A113:$A160,0))/AA161*AA167,0))</f>
        <v>158411940.45473236</v>
      </c>
      <c r="AB173">
        <f>IF('State Calculations'!AB$5&lt;&gt;"",AA173*(1+'State Calculations'!AB$5),IFERROR(INDEX(AB113:AB160,MATCH($B$5,$A113:$A160,0))/AB161*AB167,0))</f>
        <v>158462333.3621774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33847004.979127899</v>
      </c>
      <c r="C2">
        <f>Calcs!C171</f>
        <v>37312322.469911389</v>
      </c>
      <c r="D2">
        <f>Calcs!D171</f>
        <v>40991175.182204187</v>
      </c>
      <c r="E2">
        <f>Calcs!E171</f>
        <v>44847433.954010651</v>
      </c>
      <c r="F2">
        <f>Calcs!F171</f>
        <v>48814018.63149377</v>
      </c>
      <c r="G2">
        <f>Calcs!G171</f>
        <v>52772154.164294921</v>
      </c>
      <c r="H2">
        <f>Calcs!H171</f>
        <v>56516261.975700684</v>
      </c>
      <c r="I2">
        <f>Calcs!I171</f>
        <v>57337507.438507214</v>
      </c>
      <c r="J2">
        <f>Calcs!J171</f>
        <v>58083270.85022261</v>
      </c>
      <c r="K2">
        <f>Calcs!K171</f>
        <v>58735705.44611939</v>
      </c>
      <c r="L2">
        <f>Calcs!L171</f>
        <v>59273899.199021325</v>
      </c>
      <c r="M2">
        <f>Calcs!M171</f>
        <v>59673611.234128177</v>
      </c>
      <c r="N2">
        <f>Calcs!N171</f>
        <v>59731597.048238903</v>
      </c>
      <c r="O2">
        <f>Calcs!O171</f>
        <v>59776660.971876301</v>
      </c>
      <c r="P2">
        <f>Calcs!P171</f>
        <v>59808177.890347943</v>
      </c>
      <c r="Q2">
        <f>Calcs!Q171</f>
        <v>59825504.206169412</v>
      </c>
      <c r="R2">
        <f>Calcs!R171</f>
        <v>59827978.596732996</v>
      </c>
      <c r="S2">
        <f>Calcs!S171</f>
        <v>59824573.636797778</v>
      </c>
      <c r="T2">
        <f>Calcs!T171</f>
        <v>59820139.427856386</v>
      </c>
      <c r="U2">
        <f>Calcs!U171</f>
        <v>59814664.336107373</v>
      </c>
      <c r="V2">
        <f>Calcs!V171</f>
        <v>59808136.662789986</v>
      </c>
      <c r="W2">
        <f>Calcs!W171</f>
        <v>59800544.645795174</v>
      </c>
      <c r="X2">
        <f>Calcs!X171</f>
        <v>59798366.185964771</v>
      </c>
      <c r="Y2">
        <f>Calcs!Y171</f>
        <v>59796119.452402994</v>
      </c>
      <c r="Z2">
        <f>Calcs!Z171</f>
        <v>59793804.256009839</v>
      </c>
      <c r="AA2">
        <f>Calcs!AA171</f>
        <v>59791420.407448143</v>
      </c>
      <c r="AB2">
        <f>Calcs!AB171</f>
        <v>59788967.717145741</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33847004.979127899</v>
      </c>
      <c r="C2">
        <f>Calcs!C172</f>
        <v>40481075.595907517</v>
      </c>
      <c r="D2">
        <f>Calcs!D172</f>
        <v>48106223.515972301</v>
      </c>
      <c r="E2">
        <f>Calcs!E172</f>
        <v>56742055.102344058</v>
      </c>
      <c r="F2">
        <f>Calcs!F172</f>
        <v>66329115.988467418</v>
      </c>
      <c r="G2">
        <f>Calcs!G172</f>
        <v>76674547.542546317</v>
      </c>
      <c r="H2">
        <f>Calcs!H172</f>
        <v>87374038.953045681</v>
      </c>
      <c r="I2">
        <f>Calcs!I172</f>
        <v>89963375.208649904</v>
      </c>
      <c r="J2">
        <f>Calcs!J172</f>
        <v>92435273.324462369</v>
      </c>
      <c r="K2">
        <f>Calcs!K172</f>
        <v>94752693.974573895</v>
      </c>
      <c r="L2">
        <f>Calcs!L172</f>
        <v>96873762.756883323</v>
      </c>
      <c r="M2">
        <f>Calcs!M172</f>
        <v>98751768.921417415</v>
      </c>
      <c r="N2">
        <f>Calcs!N172</f>
        <v>99139022.537514061</v>
      </c>
      <c r="O2">
        <f>Calcs!O172</f>
        <v>99502506.197276086</v>
      </c>
      <c r="P2">
        <f>Calcs!P172</f>
        <v>99841101.928354964</v>
      </c>
      <c r="Q2">
        <f>Calcs!Q172</f>
        <v>100153671.75240305</v>
      </c>
      <c r="R2">
        <f>Calcs!R172</f>
        <v>100439059.58826056</v>
      </c>
      <c r="S2">
        <f>Calcs!S172</f>
        <v>100502369.57458657</v>
      </c>
      <c r="T2">
        <f>Calcs!T172</f>
        <v>100563787.4114542</v>
      </c>
      <c r="U2">
        <f>Calcs!U172</f>
        <v>100623293.15992953</v>
      </c>
      <c r="V2">
        <f>Calcs!V172</f>
        <v>100680866.82708672</v>
      </c>
      <c r="W2">
        <f>Calcs!W172</f>
        <v>100736488.36912514</v>
      </c>
      <c r="X2">
        <f>Calcs!X172</f>
        <v>100749832.82748528</v>
      </c>
      <c r="Y2">
        <f>Calcs!Y172</f>
        <v>100763051.96392345</v>
      </c>
      <c r="Z2">
        <f>Calcs!Z172</f>
        <v>100776145.45775817</v>
      </c>
      <c r="AA2">
        <f>Calcs!AA172</f>
        <v>100789112.98813508</v>
      </c>
      <c r="AB2">
        <f>Calcs!AB172</f>
        <v>100801954.23403049</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33847004.979127899</v>
      </c>
      <c r="C2">
        <f>Calcs!C173</f>
        <v>43085981.256199248</v>
      </c>
      <c r="D2">
        <f>Calcs!D173</f>
        <v>54437099.709909007</v>
      </c>
      <c r="E2">
        <f>Calcs!E173</f>
        <v>68194050.988738731</v>
      </c>
      <c r="F2">
        <f>Calcs!F173</f>
        <v>84573177.357106254</v>
      </c>
      <c r="G2">
        <f>Calcs!G173</f>
        <v>103608418.75705555</v>
      </c>
      <c r="H2">
        <f>Calcs!H173</f>
        <v>124982134.23102468</v>
      </c>
      <c r="I2">
        <f>Calcs!I173</f>
        <v>130667048.44731051</v>
      </c>
      <c r="J2">
        <f>Calcs!J173</f>
        <v>136284385.44591612</v>
      </c>
      <c r="K2">
        <f>Calcs!K173</f>
        <v>141764138.47532728</v>
      </c>
      <c r="L2">
        <f>Calcs!L173</f>
        <v>147024273.51512918</v>
      </c>
      <c r="M2">
        <f>Calcs!M173</f>
        <v>151970239.61362475</v>
      </c>
      <c r="N2">
        <f>Calcs!N173</f>
        <v>153082384.57744008</v>
      </c>
      <c r="O2">
        <f>Calcs!O173</f>
        <v>154156813.66768017</v>
      </c>
      <c r="P2">
        <f>Calcs!P173</f>
        <v>155191058.14369985</v>
      </c>
      <c r="Q2">
        <f>Calcs!Q173</f>
        <v>156182588.35236424</v>
      </c>
      <c r="R2">
        <f>Calcs!R173</f>
        <v>157128817.61782417</v>
      </c>
      <c r="S2">
        <f>Calcs!S173</f>
        <v>157351303.51846892</v>
      </c>
      <c r="T2">
        <f>Calcs!T173</f>
        <v>157570525.63381156</v>
      </c>
      <c r="U2">
        <f>Calcs!U173</f>
        <v>157786438.46020997</v>
      </c>
      <c r="V2">
        <f>Calcs!V173</f>
        <v>157998996.30125043</v>
      </c>
      <c r="W2">
        <f>Calcs!W173</f>
        <v>158208153.27479514</v>
      </c>
      <c r="X2">
        <f>Calcs!X173</f>
        <v>158259430.92574716</v>
      </c>
      <c r="Y2">
        <f>Calcs!Y173</f>
        <v>158310488.49790505</v>
      </c>
      <c r="Z2">
        <f>Calcs!Z173</f>
        <v>158361325.2536602</v>
      </c>
      <c r="AA2">
        <f>Calcs!AA173</f>
        <v>158411940.45473236</v>
      </c>
      <c r="AB2">
        <f>Calcs!AB173</f>
        <v>158462333.3621774</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2026-09-01T22:21:53Z</dcterms:modified>
</cp:coreProperties>
</file>